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Events" sheetId="2" state="visible" r:id="rId4"/>
    <sheet name="Client footprint" sheetId="3" state="visible" r:id="rId5"/>
    <sheet name="Skip list" sheetId="4" state="visible" r:id="rId6"/>
    <sheet name="Open items" sheetId="5" state="visible" r:id="rId7"/>
  </sheets>
  <definedNames>
    <definedName function="false" hidden="true" localSheetId="1" name="_xlnm._FilterDatabase" vbProcedure="false">Events!$A$1:$U$16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<sst xmlns="http://schemas.openxmlformats.org/spreadsheetml/2006/main" count="425" uniqueCount="327">
  <si>
    <t xml:space="preserve">Zeit AI event roadmap</t>
  </si>
  <si>
    <t xml:space="preserve">Events scored on ICP density, not attendance. Aug 2026 to Dec 2027. Companion doc: events-roadmap.md</t>
  </si>
  <si>
    <t xml:space="preserve">HOW TO USE</t>
  </si>
  <si>
    <t xml:space="preserve">Events tab</t>
  </si>
  <si>
    <t xml:space="preserve">One row per event, in roadmap order. Filter on any column using the header arrows.</t>
  </si>
  <si>
    <t xml:space="preserve">Yellow cells</t>
  </si>
  <si>
    <t xml:space="preserve">The only cells you fill in: Decision, Owner, Deadline, Notes.</t>
  </si>
  <si>
    <t xml:space="preserve">Decision column</t>
  </si>
  <si>
    <t xml:space="preserve">Dropdown: Go, Maybe, No, Booked, Done.</t>
  </si>
  <si>
    <t xml:space="preserve">ICP density</t>
  </si>
  <si>
    <t xml:space="preserve">Green is high, amber is medium, grey is low. Density beats attendance.</t>
  </si>
  <si>
    <t xml:space="preserve">Date status</t>
  </si>
  <si>
    <t xml:space="preserve">Verified means confirmed from a primary source. Confirm means check before booking.</t>
  </si>
  <si>
    <t xml:space="preserve">PHASES</t>
  </si>
  <si>
    <t xml:space="preserve">P1</t>
  </si>
  <si>
    <t xml:space="preserve">Aug to Oct 2026. Attend and learn. Lead times are already blown, so no stands and no speaker slots.</t>
  </si>
  <si>
    <t xml:space="preserve">P2</t>
  </si>
  <si>
    <t xml:space="preserve">Nov 2026 to Mar 2027. Build and book. Quiet window: convert relationships, publish assets, secure 2027 slots.</t>
  </si>
  <si>
    <t xml:space="preserve">P3</t>
  </si>
  <si>
    <t xml:space="preserve">Apr to Jun 2027. The first properly planned season. Speak at Hannover and at Congress der Controller.</t>
  </si>
  <si>
    <t xml:space="preserve">P4</t>
  </si>
  <si>
    <t xml:space="preserve">H2 2027. Target state. Exhibit and speak at DSAG.</t>
  </si>
  <si>
    <t xml:space="preserve">CATEGORIES</t>
  </si>
  <si>
    <t xml:space="preserve">Not every event is a sales channel</t>
  </si>
  <si>
    <t xml:space="preserve">SELL</t>
  </si>
  <si>
    <t xml:space="preserve">Qualified meetings and pipeline. Measure on meetings with a signer or champion.</t>
  </si>
  <si>
    <t xml:space="preserve">PARTNER</t>
  </si>
  <si>
    <t xml:space="preserve">Channel and referral relationships. Measure on introductions into a portfolio or member base.</t>
  </si>
  <si>
    <t xml:space="preserve">TRUST</t>
  </si>
  <si>
    <t xml:space="preserve">Visibility, proof, being citable. Every talk and story is an indexable asset that feeds the AI answer layer, where Zeit AI sits at 0.0%.</t>
  </si>
  <si>
    <t xml:space="preserve">TALENT</t>
  </si>
  <si>
    <t xml:space="preserve">Hiring and investor relations. Measure on candidates in process, never on pipeline.</t>
  </si>
  <si>
    <t xml:space="preserve">SCOUT</t>
  </si>
  <si>
    <t xml:space="preserve">Reconnaissance only. Attend once, decide later, do not exhibit.</t>
  </si>
  <si>
    <t xml:space="preserve">SKIP</t>
  </si>
  <si>
    <t xml:space="preserve">Do not spend. Reasons on the Skip list tab.</t>
  </si>
  <si>
    <t xml:space="preserve">BUDGET REALITY</t>
  </si>
  <si>
    <t xml:space="preserve">All tickets, 18 months</t>
  </si>
  <si>
    <t xml:space="preserve">Roughly EUR 4,000 to EUR 6,000 for one person. A single modest stand at Hannover would cost more than that entire list combined. Tickets are not the constraint; time, travel and preparation are. That is the argument for speak-and-attend rather than exhibit.</t>
  </si>
  <si>
    <t xml:space="preserve">WHAT THE CLIENTS SAY</t>
  </si>
  <si>
    <t xml:space="preserve">Client footprint tab</t>
  </si>
  <si>
    <t xml:space="preserve">Not one named customer is provably at any public event on this shortlist. They host their own field days, meet at an invitation-only CEO summit, or attend nothing at all.</t>
  </si>
  <si>
    <t xml:space="preserve">EXAMPLE ROW</t>
  </si>
  <si>
    <t xml:space="preserve">How a filled-in row should look</t>
  </si>
  <si>
    <t xml:space="preserve">Decision</t>
  </si>
  <si>
    <t xml:space="preserve">Go</t>
  </si>
  <si>
    <t xml:space="preserve">Owner</t>
  </si>
  <si>
    <t xml:space="preserve">Abir</t>
  </si>
  <si>
    <t xml:space="preserve">Deadline</t>
  </si>
  <si>
    <t xml:space="preserve">22 Sep 2026</t>
  </si>
  <si>
    <t xml:space="preserve">Notes</t>
  </si>
  <si>
    <t xml:space="preserve">Booked flights. Ask Karl Allgaier for two introductions on the day.</t>
  </si>
  <si>
    <t xml:space="preserve">PROGRESS</t>
  </si>
  <si>
    <t xml:space="preserve">Maybe</t>
  </si>
  <si>
    <t xml:space="preserve">No</t>
  </si>
  <si>
    <t xml:space="preserve">Booked</t>
  </si>
  <si>
    <t xml:space="preserve">Done</t>
  </si>
  <si>
    <t xml:space="preserve">Not yet decided</t>
  </si>
  <si>
    <t xml:space="preserve">Total events</t>
  </si>
  <si>
    <t xml:space="preserve">Phase</t>
  </si>
  <si>
    <t xml:space="preserve">Category</t>
  </si>
  <si>
    <t xml:space="preserve">Start date</t>
  </si>
  <si>
    <t xml:space="preserve">Dates</t>
  </si>
  <si>
    <t xml:space="preserve">Event</t>
  </si>
  <si>
    <t xml:space="preserve">City / venue</t>
  </si>
  <si>
    <t xml:space="preserve">Organiser</t>
  </si>
  <si>
    <t xml:space="preserve">Size</t>
  </si>
  <si>
    <t xml:space="preserve">Ticket price</t>
  </si>
  <si>
    <t xml:space="preserve">ICP segment</t>
  </si>
  <si>
    <t xml:space="preserve">Lead use case</t>
  </si>
  <si>
    <t xml:space="preserve">Who is in the room</t>
  </si>
  <si>
    <t xml:space="preserve">Recommended action</t>
  </si>
  <si>
    <t xml:space="preserve">Lead time / note</t>
  </si>
  <si>
    <t xml:space="preserve">Source</t>
  </si>
  <si>
    <t xml:space="preserve">Late Aug to Sep, annual</t>
  </si>
  <si>
    <t xml:space="preserve">Allgaier Agrarhandel field days (Maisfeldtage)</t>
  </si>
  <si>
    <t xml:space="preserve">Ebersbach and Pappelau, Baden-Wuerttemberg</t>
  </si>
  <si>
    <t xml:space="preserve">Allgaier Agrarhandel</t>
  </si>
  <si>
    <t xml:space="preserve">Small, local</t>
  </si>
  <si>
    <t xml:space="preserve">Free, customer hosted</t>
  </si>
  <si>
    <t xml:space="preserve">B</t>
  </si>
  <si>
    <t xml:space="preserve">Very high</t>
  </si>
  <si>
    <t xml:space="preserve">None. The customer tells their own story, filmed and written up. Not a pitch venue.</t>
  </si>
  <si>
    <t xml:space="preserve">Allgaier's own farming and agri-trade customers. 2025 editions ran 29 Aug and 10 Sep.</t>
  </si>
  <si>
    <t xml:space="preserve">Co-host or speak</t>
  </si>
  <si>
    <t xml:space="preserve">Cheapest and warmest proof asset available. Ask Karl Allgaier. 2026 dates not yet published.</t>
  </si>
  <si>
    <t xml:space="preserve">Confirm</t>
  </si>
  <si>
    <t xml:space="preserve">https://www.allgaier-agrarhandel.de/en/events/</t>
  </si>
  <si>
    <t xml:space="preserve">27 Aug 2026</t>
  </si>
  <si>
    <t xml:space="preserve">DER AGRARHANDEL August Börse 2026</t>
  </si>
  <si>
    <t xml:space="preserve">Hamburg (confirm venue)</t>
  </si>
  <si>
    <t xml:space="preserve">DER AGRARHANDEL e.V.</t>
  </si>
  <si>
    <t xml:space="preserve">Small, association event</t>
  </si>
  <si>
    <t xml:space="preserve">Not published</t>
  </si>
  <si>
    <t xml:space="preserve">High</t>
  </si>
  <si>
    <t xml:space="preserve">Inventory management and procurement spend. Hook: 90 unprofitable products uncovered in one month. Do NOT lead with the controlling cockpit, these are traders not group finance.</t>
  </si>
  <si>
    <t xml:space="preserve">Agricultural trading companies. Allgaier's direct peer group.</t>
  </si>
  <si>
    <t xml:space="preserve">Attend</t>
  </si>
  <si>
    <t xml:space="preserve">12 days out. Attend only, no stand possible. Ask Allgaier for introductions.</t>
  </si>
  <si>
    <t xml:space="preserve">Verified</t>
  </si>
  <si>
    <t xml:space="preserve">https://der-agrarhandel.de/termine/</t>
  </si>
  <si>
    <t xml:space="preserve">23 Sep 2026</t>
  </si>
  <si>
    <t xml:space="preserve">Gut zu wissen im Agrarhandel: Konfliktsituationen</t>
  </si>
  <si>
    <t xml:space="preserve">Small, member session</t>
  </si>
  <si>
    <t xml:space="preserve">Inventory management and procurement spend.</t>
  </si>
  <si>
    <t xml:space="preserve">Agri trade member companies, operational and management level.</t>
  </si>
  <si>
    <t xml:space="preserve">Member session. Check guest eligibility.</t>
  </si>
  <si>
    <t xml:space="preserve">28 to 30 Sep 2026</t>
  </si>
  <si>
    <t xml:space="preserve">Bits &amp; Pretzels 2026</t>
  </si>
  <si>
    <t xml:space="preserve">ICM, Munich</t>
  </si>
  <si>
    <t xml:space="preserve">Startup Events GmbH</t>
  </si>
  <si>
    <t xml:space="preserve">7,500 attendees incl 1,500+ VCs, 300+ LPs, 600+ senior executives</t>
  </si>
  <si>
    <t xml:space="preserve">EUR 399 early / EUR 499 startup ticket, students EUR 199, plus VAT</t>
  </si>
  <si>
    <t xml:space="preserve">None (hiring and brand)</t>
  </si>
  <si>
    <t xml:space="preserve">Low</t>
  </si>
  <si>
    <t xml:space="preserve">The company, not the product. Almost nobody here is the ICP.</t>
  </si>
  <si>
    <t xml:space="preserve">Founders, investors and startup operators.</t>
  </si>
  <si>
    <t xml:space="preserve">Attend for hiring and brand</t>
  </si>
  <si>
    <t xml:space="preserve">Home city. Do not measure on qualified meetings. Thin secondary PARTNER value via the 600+ executives.</t>
  </si>
  <si>
    <t xml:space="preserve">https://www.bitsandpretzels.com/</t>
  </si>
  <si>
    <t xml:space="preserve">6 to 8 Oct 2026</t>
  </si>
  <si>
    <t xml:space="preserve">DSAG Jahreskongress 2026</t>
  </si>
  <si>
    <t xml:space="preserve">Koelnmesse, Cologne</t>
  </si>
  <si>
    <t xml:space="preserve">Deutschsprachige SAP-Anwendergruppe e.V.</t>
  </si>
  <si>
    <t xml:space="preserve">5,500+ attendees, 180 partner exhibitors</t>
  </si>
  <si>
    <t xml:space="preserve">Members EUR 990 (3 days) / EUR 650 (1 day). Non-members EUR 1,590 / EUR 850. Students EUR 250 / EUR 100. All plus 19% VAT.</t>
  </si>
  <si>
    <t xml:space="preserve">A, B and champion</t>
  </si>
  <si>
    <t xml:space="preserve">Controlling cockpit on SAP data, paired with the trust stack (German hosting, no model training). Second use case: procurement spend cube from SAP purchasing data.</t>
  </si>
  <si>
    <t xml:space="preserve">German-speaking SAP customer companies: controlling, finance, IT and management together.</t>
  </si>
  <si>
    <t xml:space="preserve">Attend 2026, exhibit and speak 2027</t>
  </si>
  <si>
    <t xml:space="preserve">Highest density on the calendar. Check DSAG membership cost: member pricing saves EUR 600 per 3-day pass. Book the 2027 slot before leaving Cologne.</t>
  </si>
  <si>
    <t xml:space="preserve">https://dsag.de/events/dsag-jahreskongress-2026/</t>
  </si>
  <si>
    <t xml:space="preserve">Annual, dates not public</t>
  </si>
  <si>
    <t xml:space="preserve">The Stern Stewart Institute Annual Summit</t>
  </si>
  <si>
    <t xml:space="preserve">Schloss Elmau, near Munich</t>
  </si>
  <si>
    <t xml:space="preserve">The Stern Stewart Institute</t>
  </si>
  <si>
    <t xml:space="preserve">About 250 attendees</t>
  </si>
  <si>
    <t xml:space="preserve">Invitation only</t>
  </si>
  <si>
    <t xml:space="preserve">A, B and C via the signer</t>
  </si>
  <si>
    <t xml:space="preserve">Economics, not product. 370 hours a month recovered, EUR 24M in improved negotiations, the data team you cannot hire. No dashboard demo.</t>
  </si>
  <si>
    <t xml:space="preserve">CEOs and CFOs of major German companies, plus politics and central bank speakers.</t>
  </si>
  <si>
    <t xml:space="preserve">Ask for an invitation</t>
  </si>
  <si>
    <t xml:space="preserve">Highest value room found anywhere. Stern Stewart is both customer and shareholder, so the ask is warm. Not on any public events list.</t>
  </si>
  <si>
    <t xml:space="preserve">https://www.sternstewartinstitute.com/</t>
  </si>
  <si>
    <t xml:space="preserve">10 to 13 Nov 2026</t>
  </si>
  <si>
    <t xml:space="preserve">EuroTier 2026</t>
  </si>
  <si>
    <t xml:space="preserve">Hannover exhibition grounds</t>
  </si>
  <si>
    <t xml:space="preserve">DLG</t>
  </si>
  <si>
    <t xml:space="preserve">2,100+ exhibitors, 220,000 sqm</t>
  </si>
  <si>
    <t xml:space="preserve">Day EUR 33 online / EUR 42 at door. 4-day EUR 78 / EUR 99.</t>
  </si>
  <si>
    <t xml:space="preserve">B (weak fit)</t>
  </si>
  <si>
    <t xml:space="preserve">None. Wrong audience: livestock farmers, not agricultural traders.</t>
  </si>
  <si>
    <t xml:space="preserve">Livestock farmers and equipment suppliers.</t>
  </si>
  <si>
    <t xml:space="preserve">Scout only</t>
  </si>
  <si>
    <t xml:space="preserve">Only if agriculture is confirmed as a growth bet. Do not exhibit.</t>
  </si>
  <si>
    <t xml:space="preserve">https://www.eurotier.com/</t>
  </si>
  <si>
    <t xml:space="preserve">16 to 18 Nov 2026</t>
  </si>
  <si>
    <t xml:space="preserve">EBAA Week 2026 (AIROPS + BASIC)</t>
  </si>
  <si>
    <t xml:space="preserve">Skyhall, Brussels</t>
  </si>
  <si>
    <t xml:space="preserve">EBAA</t>
  </si>
  <si>
    <t xml:space="preserve">Not yet published</t>
  </si>
  <si>
    <t xml:space="preserve">C</t>
  </si>
  <si>
    <t xml:space="preserve">Medium</t>
  </si>
  <si>
    <t xml:space="preserve">BLOCKED. No published aviation use case exists. Build a Jetfly fleet-utilisation and cost-allocation story first, or skip.</t>
  </si>
  <si>
    <t xml:space="preserve">Business aviation operations: airports, FBOs, ground handlers, trip planners, operators.</t>
  </si>
  <si>
    <t xml:space="preserve">Optional, blocked on content</t>
  </si>
  <si>
    <t xml:space="preserve">Replaces cancelled EBACE. Ops focus is closer to Jetfly than the old expo.</t>
  </si>
  <si>
    <t xml:space="preserve">https://www.ebaa.org/events/ebaa-week-2026</t>
  </si>
  <si>
    <t xml:space="preserve">5 to 8 Apr 2027</t>
  </si>
  <si>
    <t xml:space="preserve">HANNOVER MESSE 2027</t>
  </si>
  <si>
    <t xml:space="preserve">Deutsche Messe AG</t>
  </si>
  <si>
    <t xml:space="preserve">Very large, world leading industrial fair</t>
  </si>
  <si>
    <t xml:space="preserve">Day EUR 35 advance / EUR 55 at door. Full run EUR 90 / EUR 108. Free if speaking.</t>
  </si>
  <si>
    <t xml:space="preserve">A</t>
  </si>
  <si>
    <t xml:space="preserve">Low to medium</t>
  </si>
  <si>
    <t xml:space="preserve">Inventory management and procurement spend at plant level. This floor is industrial and operational, not group finance.</t>
  </si>
  <si>
    <t xml:space="preserve">Industrial, engineering and procurement. Finance and management thinly represented.</t>
  </si>
  <si>
    <t xml:space="preserve">Speak, do not exhibit</t>
  </si>
  <si>
    <t xml:space="preserve">Target a digitalisation or AI forum slot. Book exec meetings around the fair. The fair is the reason executives are in one city, not the channel itself.</t>
  </si>
  <si>
    <t xml:space="preserve">https://www.hannovermesse.de/</t>
  </si>
  <si>
    <t xml:space="preserve">26 to 27 Apr 2027</t>
  </si>
  <si>
    <t xml:space="preserve">51. Congress der Controller (ICV)</t>
  </si>
  <si>
    <t xml:space="preserve">The Westin Grand München, Arabellastr. 6</t>
  </si>
  <si>
    <t xml:space="preserve">Internationaler Controller Verein e.V.</t>
  </si>
  <si>
    <t xml:space="preserve">Largest controlling gathering in Europe</t>
  </si>
  <si>
    <t xml:space="preserve">EUR 1,460 members / EUR 1,690 non-members. Free or reduced if speaking.</t>
  </si>
  <si>
    <t xml:space="preserve">All three, via champion</t>
  </si>
  <si>
    <t xml:space="preserve">Controlling cockpit ONLY. Plan-Ist-Abweichung, automatic deviation alerts, drill from headline EBIT to purchase-order level. Do not dilute with inventory or procurement.</t>
  </si>
  <si>
    <t xml:space="preserve">Controllers, FP&amp;A and finance leaders. The champion persona, not the signer.</t>
  </si>
  <si>
    <t xml:space="preserve">Speak, attend regardless</t>
  </si>
  <si>
    <t xml:space="preserve">Munich, so near zero travel cost. Cheapest high density option. Apply to speak.</t>
  </si>
  <si>
    <t xml:space="preserve">https://icv-controlling.com/events/congress-der-controller/</t>
  </si>
  <si>
    <t xml:space="preserve">17 Jun 2027</t>
  </si>
  <si>
    <t xml:space="preserve">MUPET (Munich Private Equity Training)</t>
  </si>
  <si>
    <t xml:space="preserve">Munich</t>
  </si>
  <si>
    <t xml:space="preserve">P+ Training GmbH</t>
  </si>
  <si>
    <t xml:space="preserve">A (channel)</t>
  </si>
  <si>
    <t xml:space="preserve">High as a channel</t>
  </si>
  <si>
    <t xml:space="preserve">Carve-out reporting: group BI ends on a TSA clock, PE owner wants board-grade monthly reporting, no team left. Needs a page built before it can be pitched.</t>
  </si>
  <si>
    <t xml:space="preserve">PE professionals. Route to portfolio companies with an identical carve-out trigger.</t>
  </si>
  <si>
    <t xml:space="preserve">Channel play</t>
  </si>
  <si>
    <t xml:space="preserve">Gated: do not fund until the Comitans question is answered. See Open items #3.</t>
  </si>
  <si>
    <t xml:space="preserve">https://www.pptraining.de/en/mupet</t>
  </si>
  <si>
    <t xml:space="preserve">Confirm dates</t>
  </si>
  <si>
    <t xml:space="preserve">German Private Equity Summit</t>
  </si>
  <si>
    <t xml:space="preserve">Germany, confirm</t>
  </si>
  <si>
    <t xml:space="preserve">Informa / SuperReturn</t>
  </si>
  <si>
    <t xml:space="preserve">Carve-out reporting.</t>
  </si>
  <si>
    <t xml:space="preserve">PE investors and portfolio executives.</t>
  </si>
  <si>
    <t xml:space="preserve">Gated on the Comitans answer.</t>
  </si>
  <si>
    <t xml:space="preserve">https://informaconnect.com/superreturn-international/german-private-equity-summit/</t>
  </si>
  <si>
    <t xml:space="preserve">pemacom M&amp;A and Private Equity events</t>
  </si>
  <si>
    <t xml:space="preserve">pemacom</t>
  </si>
  <si>
    <t xml:space="preserve">Medium as a channel</t>
  </si>
  <si>
    <t xml:space="preserve">German M&amp;A and PE community with a Mittelstand transaction focus.</t>
  </si>
  <si>
    <t xml:space="preserve">Lower priority than MUPET.</t>
  </si>
  <si>
    <t xml:space="preserve">https://pemacom.com/</t>
  </si>
  <si>
    <t xml:space="preserve">Autumn 2027, dates TBA</t>
  </si>
  <si>
    <t xml:space="preserve">DSAG Jahreskongress 2027</t>
  </si>
  <si>
    <t xml:space="preserve">Expect 5,500+</t>
  </si>
  <si>
    <t xml:space="preserve">Confirm. Exhibitor and speaker costs additional.</t>
  </si>
  <si>
    <t xml:space="preserve">Controlling cockpit on SAP data plus the trust stack, delivered from a stage rather than a corridor.</t>
  </si>
  <si>
    <t xml:space="preserve">German-speaking SAP customer companies.</t>
  </si>
  <si>
    <t xml:space="preserve">Exhibit and speak</t>
  </si>
  <si>
    <t xml:space="preserve">The target state. This is what the whole roadmap builds toward. Apply during the 2026 edition.</t>
  </si>
  <si>
    <t xml:space="preserve">https://dsag.de/</t>
  </si>
  <si>
    <t xml:space="preserve">14 to 20 Nov 2027</t>
  </si>
  <si>
    <t xml:space="preserve">Agritechnica 2027</t>
  </si>
  <si>
    <t xml:space="preserve">World leading agricultural machinery fair</t>
  </si>
  <si>
    <t xml:space="preserve">Confirm. DLG pricing comparable to EuroTier.</t>
  </si>
  <si>
    <t xml:space="preserve">None. Skip as exhibitor.</t>
  </si>
  <si>
    <t xml:space="preserve">Farmers and machinery buyers, not agricultural trading companies.</t>
  </si>
  <si>
    <t xml:space="preserve">Skip as exhibitor</t>
  </si>
  <si>
    <t xml:space="preserve">Do not let one agriculture logo pull the events budget to Hannover.</t>
  </si>
  <si>
    <t xml:space="preserve">https://www.agritechnica.com/</t>
  </si>
  <si>
    <t xml:space="preserve">Where Zeit AI's named customers actually show up</t>
  </si>
  <si>
    <t xml:space="preserve">Reverse engineered from the customer list. Headline: not one named customer is provably at any public event on the shortlist.</t>
  </si>
  <si>
    <t xml:space="preserve">Client</t>
  </si>
  <si>
    <t xml:space="preserve">Segment</t>
  </si>
  <si>
    <t xml:space="preserve">What they are</t>
  </si>
  <si>
    <t xml:space="preserve">Event footprint found</t>
  </si>
  <si>
    <t xml:space="preserve">Evidence strength</t>
  </si>
  <si>
    <t xml:space="preserve">What it means</t>
  </si>
  <si>
    <t xml:space="preserve">Action</t>
  </si>
  <si>
    <t xml:space="preserve">Stern Stewart</t>
  </si>
  <si>
    <t xml:space="preserve">D (channel)</t>
  </si>
  <si>
    <t xml:space="preserve">Munich strategy consultancy. Customer AND investor via Stern Stewart Ventures.</t>
  </si>
  <si>
    <t xml:space="preserve">Runs The Stern Stewart Institute Annual Summit at Schloss Elmau. About 250 CEOs and CFOs of major German companies. Listed in Deutsche Bundesbank official press dates.</t>
  </si>
  <si>
    <t xml:space="preserve">Strong</t>
  </si>
  <si>
    <t xml:space="preserve">The best channel found in this whole exercise. An invitation-level room full of the exact signer persona, hosted by a company that is both customer and shareholder.</t>
  </si>
  <si>
    <t xml:space="preserve">Ask Stern Stewart for an invitation or a speaking slot. Warm ask.</t>
  </si>
  <si>
    <t xml:space="preserve">Family-owned agricultural trader, 5th generation, southern Germany.</t>
  </si>
  <si>
    <t xml:space="preserve">Hosts its own events: Maisfeldtage at Ebersbach (29 Aug 2025) and Pappelau (10 Sep 2025), plus a PAMIRA collection day in Allmendingen on 21 Oct 2026. No national trade fair presence found.</t>
  </si>
  <si>
    <t xml:space="preserve">The agriculture ICP hosts local field days rather than attending national fairs. This confirms that Agritechnica and EuroTier are the wrong target.</t>
  </si>
  <si>
    <t xml:space="preserve">Ask Karl Allgaier to co-host or let Zeit AI speak at a 2026 field day.</t>
  </si>
  <si>
    <t xml:space="preserve">Kolbenschmidt Pistons</t>
  </si>
  <si>
    <t xml:space="preserve">OEM piston manufacturer, carved out of Rheinmetall to Comitans Capital on 1 Apr 2024.</t>
  </si>
  <si>
    <t xml:space="preserve">None. The company website lists no events at all. Note the trap: the Kolbenschmidt brand at Automechanika belongs to MS Motorservice International, a different company.</t>
  </si>
  <si>
    <t xml:space="preserve">Strong (absence of exhibiting)</t>
  </si>
  <si>
    <t xml:space="preserve">Carve-outs do not do trade fairs. They sell to engine OEMs and answer to a PE owner. The route in is the owner, not a fair.</t>
  </si>
  <si>
    <t xml:space="preserve">Work the Comitans Capital relationship instead. See Open items #3.</t>
  </si>
  <si>
    <t xml:space="preserve">Jetfly</t>
  </si>
  <si>
    <t xml:space="preserve">Luxembourg fractional business aviation operator, about 300 staff, 60 Pilatus aircraft.</t>
  </si>
  <si>
    <t xml:space="preserve">Historically an EBACE company. Ordered four PC-24s at Pilatus's EBACE 2014 booth and keeps an EBACE page on its own site. EBACE was cancelled in April 2026.</t>
  </si>
  <si>
    <t xml:space="preserve">Moderate</t>
  </si>
  <si>
    <t xml:space="preserve">Their industry venue no longer exists. Another reason to treat aviation as a case study to publish rather than a segment to staff.</t>
  </si>
  <si>
    <t xml:space="preserve">Ask Maxime Bouchard which events replaced EBACE for them.</t>
  </si>
  <si>
    <t xml:space="preserve">Capomondo</t>
  </si>
  <si>
    <t xml:space="preserve">D</t>
  </si>
  <si>
    <t xml:space="preserve">Swiss services company for the Luigia and Capocaccia restaurant group (Geneva, Wollerau).</t>
  </si>
  <si>
    <t xml:space="preserve">None found.</t>
  </si>
  <si>
    <t xml:space="preserve">Weak</t>
  </si>
  <si>
    <t xml:space="preserve">Hospitality services, not an events play for this product.</t>
  </si>
  <si>
    <t xml:space="preserve">Deprioritise.</t>
  </si>
  <si>
    <t xml:space="preserve">RISE</t>
  </si>
  <si>
    <t xml:space="preserve">Financial consultancy, named on the YC profile.</t>
  </si>
  <si>
    <t xml:space="preserve">Too little public information to act on.</t>
  </si>
  <si>
    <t xml:space="preserve">Ask Zeit AI who RISE actually is.</t>
  </si>
  <si>
    <t xml:space="preserve">ATS, SwissGroup, Raiffeisen</t>
  </si>
  <si>
    <t xml:space="preserve">Unknown</t>
  </si>
  <si>
    <t xml:space="preserve">Three of the eight logo-wall entities remain unidentified.</t>
  </si>
  <si>
    <t xml:space="preserve">Cannot be searched until the entities are identified.</t>
  </si>
  <si>
    <t xml:space="preserve">None</t>
  </si>
  <si>
    <t xml:space="preserve">A third of the public proof is unattributable, so a third of the client event footprint is unknowable.</t>
  </si>
  <si>
    <t xml:space="preserve">Ask Zeit AI to identify all three. If Raiffeisen is the agricultural cooperative side, Deutscher Raiffeisenverband events become Tier 1.</t>
  </si>
  <si>
    <t xml:space="preserve">Caveat</t>
  </si>
  <si>
    <t xml:space="preserve">Absence of a public footprint mostly proves they do not EXHIBIT. Private mid-market companies rarely publish which fairs they visit, and visitors never appear in exhibitor lists. The only reliable way to settle this is to ask the four named references directly.</t>
  </si>
  <si>
    <t xml:space="preserve">Do not spend here</t>
  </si>
  <si>
    <t xml:space="preserve">Recorded so the decision is not re-argued every quarter.</t>
  </si>
  <si>
    <t xml:space="preserve">Event or class</t>
  </si>
  <si>
    <t xml:space="preserve">Why skip</t>
  </si>
  <si>
    <t xml:space="preserve">AI and big data conferences</t>
  </si>
  <si>
    <t xml:space="preserve">The room is data engineers, analytics leads and competing vendors. The ICP has no data team, which is the whole reason it buys.</t>
  </si>
  <si>
    <t xml:space="preserve">Web Summit, Slush, general tech</t>
  </si>
  <si>
    <t xml:space="preserve">Founders and investors, not buyers. Bits &amp; Pretzels already covers this need locally and cheaply.</t>
  </si>
  <si>
    <t xml:space="preserve">SAP Sapphire</t>
  </si>
  <si>
    <t xml:space="preserve">US centric and enterprise priced. DSAG reaches the same German-speaking customers far more cheaply.</t>
  </si>
  <si>
    <t xml:space="preserve">Agritechnica and EuroTier as exhibitor</t>
  </si>
  <si>
    <t xml:space="preserve">Farmers and machinery buyers. The agriculture customer is a trading business, not a farm.</t>
  </si>
  <si>
    <t xml:space="preserve">EBACE</t>
  </si>
  <si>
    <t xml:space="preserve">Cancelled by EBAA in April 2026. A 2027 Cannes successor is speculative and must not be budgeted against.</t>
  </si>
  <si>
    <t xml:space="preserve">Automechanika Frankfurt (8 to 12 Sep 2026)</t>
  </si>
  <si>
    <t xml:space="preserve">Wrong entity trap. The Kolbenschmidt brand at Automechanika is MS Motorservice International, the Rheinmetall aftermarket arm. The Zeit AI customer is Kolbenschmidt Pistons, the OEM manufacturer carved out to Comitans Capital. Same brand name, different company.</t>
  </si>
  <si>
    <t xml:space="preserve">Confirm before committing budget</t>
  </si>
  <si>
    <t xml:space="preserve">Yellow cells are yours to fill in.</t>
  </si>
  <si>
    <t xml:space="preserve">#</t>
  </si>
  <si>
    <t xml:space="preserve">Item</t>
  </si>
  <si>
    <t xml:space="preserve">Blocks which event</t>
  </si>
  <si>
    <t xml:space="preserve">Status</t>
  </si>
  <si>
    <t xml:space="preserve">Confirm DSAG 2026 stand and speaker availability, the 2027 booking deadline, and the DSAG membership fee. Member pricing saves EUR 600 per 3-day pass.</t>
  </si>
  <si>
    <t xml:space="preserve">DSAG 2026 and 2027</t>
  </si>
  <si>
    <t xml:space="preserve">Confirm DER AGRARHANDEL membership eligibility and ask Allgaier to sponsor an introduction.</t>
  </si>
  <si>
    <t xml:space="preserve">DER AGRARHANDEL events</t>
  </si>
  <si>
    <t xml:space="preserve">Answer the Comitans question: is the PE channel real, and has a second portfolio company ever bought?</t>
  </si>
  <si>
    <t xml:space="preserve">All PE channel events</t>
  </si>
  <si>
    <t xml:space="preserve">Confirm whether the Raiffeisen logo is the agricultural cooperative side. If yes, add Deutscher Raiffeisenverband events.</t>
  </si>
  <si>
    <t xml:space="preserve">New candidate</t>
  </si>
  <si>
    <t xml:space="preserve">Decide whether aviation is a segment or a single case study, then decide on EBAA Week.</t>
  </si>
  <si>
    <t xml:space="preserve">EBAA Week 2026</t>
  </si>
  <si>
    <t xml:space="preserve">Confirm the August Börse venue and whether non-members can attend.</t>
  </si>
  <si>
    <t xml:space="preserve">August Börse 2026</t>
  </si>
  <si>
    <t xml:space="preserve">Confirm MUPET, German Private Equity Summit and pemacom dates and fees.</t>
  </si>
  <si>
    <t xml:space="preserve">PE channel events</t>
  </si>
  <si>
    <t xml:space="preserve">CONTENT GAP: build a carve-out reporting use case page. It is the sharpest trigger Zeit AI has and it is not one of the three published use cases.</t>
  </si>
  <si>
    <t xml:space="preserve">CONTENT GAP: build an aviation use case from the Jetfly engagement (fleet utilisation, cost allocation across fractional owners).</t>
  </si>
  <si>
    <t xml:space="preserve">Ask Stern Stewart for an invitation or speaking slot at the Annual Summit, and get the next date.</t>
  </si>
  <si>
    <t xml:space="preserve">Stern Stewart Summit</t>
  </si>
</sst>
</file>

<file path=xl/styles.xml><?xml version="1.0" encoding="utf-8"?>
<styleSheet xmlns="http://schemas.openxmlformats.org/spreadsheetml/2006/main">
  <numFmts count="2">
    <numFmt numFmtId="164" formatCode="General"/>
    <numFmt numFmtId="165" formatCode="dd\ mmm\ yyyy"/>
  </numFmts>
  <fonts count="10">
    <font>
      <sz val="11"/>
      <color theme="1"/>
      <name val="Calibri"/>
      <family val="2"/>
      <charset val="1"/>
    </font>
    <font>
      <sz val="10"/>
      <name val="Arial"/>
      <family val="0"/>
    </font>
    <font>
      <sz val="10"/>
      <name val="Arial"/>
      <family val="0"/>
    </font>
    <font>
      <sz val="10"/>
      <name val="Arial"/>
      <family val="0"/>
    </font>
    <font>
      <b val="true"/>
      <sz val="18"/>
      <name val="Arial"/>
      <family val="0"/>
      <charset val="1"/>
    </font>
    <font>
      <sz val="10"/>
      <color rgb="FF55554E"/>
      <name val="Arial"/>
      <family val="0"/>
      <charset val="1"/>
    </font>
    <font>
      <sz val="10"/>
      <name val="Arial"/>
      <family val="0"/>
      <charset val="1"/>
    </font>
    <font>
      <b val="true"/>
      <sz val="10"/>
      <name val="Arial"/>
      <family val="0"/>
      <charset val="1"/>
    </font>
    <font>
      <b val="true"/>
      <sz val="10"/>
      <color rgb="FFFFFFFF"/>
      <name val="Arial"/>
      <family val="0"/>
      <charset val="1"/>
    </font>
    <font>
      <b val="true"/>
      <sz val="14"/>
      <name val="Arial"/>
      <family val="0"/>
      <charset val="1"/>
    </font>
  </fonts>
  <fills count="11">
    <fill>
      <patternFill patternType="none"/>
    </fill>
    <fill>
      <patternFill patternType="gray125"/>
    </fill>
    <fill>
      <patternFill patternType="solid">
        <fgColor rgb="FFF2F2EF"/>
        <bgColor rgb="FFF2F2F2"/>
      </patternFill>
    </fill>
    <fill>
      <patternFill patternType="solid">
        <fgColor rgb="FFC6E0B4"/>
        <bgColor rgb="FFD9D9D9"/>
      </patternFill>
    </fill>
    <fill>
      <patternFill patternType="solid">
        <fgColor rgb="FFBDD7EE"/>
        <bgColor rgb="FFD9D9D9"/>
      </patternFill>
    </fill>
    <fill>
      <patternFill patternType="solid">
        <fgColor rgb="FFFFE699"/>
        <bgColor rgb="FFF2F2EF"/>
      </patternFill>
    </fill>
    <fill>
      <patternFill patternType="solid">
        <fgColor rgb="FFE4DFEC"/>
        <bgColor rgb="FFD9D9D9"/>
      </patternFill>
    </fill>
    <fill>
      <patternFill patternType="solid">
        <fgColor rgb="FFF2F2F2"/>
        <bgColor rgb="FFF2F2EF"/>
      </patternFill>
    </fill>
    <fill>
      <patternFill patternType="solid">
        <fgColor rgb="FFD9D9D9"/>
        <bgColor rgb="FFE4DFEC"/>
      </patternFill>
    </fill>
    <fill>
      <patternFill patternType="solid">
        <fgColor rgb="FFFFFF00"/>
        <bgColor rgb="FFFFFF00"/>
      </patternFill>
    </fill>
    <fill>
      <patternFill patternType="solid">
        <fgColor rgb="FF1F1F1C"/>
        <bgColor rgb="FF333300"/>
      </patternFill>
    </fill>
  </fills>
  <borders count="2">
    <border diagonalUp="false" diagonalDown="false">
      <left/>
      <right/>
      <top/>
      <bottom/>
      <diagonal/>
    </border>
    <border diagonalUp="false" diagonalDown="false">
      <left style="thin">
        <color rgb="FFC8C8C0"/>
      </left>
      <right style="thin">
        <color rgb="FFC8C8C0"/>
      </right>
      <top style="thin">
        <color rgb="FFC8C8C0"/>
      </top>
      <bottom style="thin">
        <color rgb="FFC8C8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4" fontId="7" fillId="7" borderId="0" xfId="0" applyFont="true" applyBorder="false" applyAlignment="true" applyProtection="false">
      <alignment horizontal="general" vertical="top" textRotation="0" wrapText="true" indent="0" shrinkToFit="false"/>
      <protection locked="true" hidden="false"/>
    </xf>
    <xf numFmtId="164" fontId="7" fillId="8" borderId="0" xfId="0" applyFont="true" applyBorder="false" applyAlignment="true" applyProtection="false">
      <alignment horizontal="general" vertical="top" textRotation="0" wrapText="tru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4" fontId="8" fillId="1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5" fontId="6" fillId="9"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1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1F1C"/>
          <bgColor rgb="FF000000"/>
        </patternFill>
      </fill>
    </dxf>
    <dxf>
      <fill>
        <patternFill patternType="solid">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C6E0B4"/>
          <bgColor rgb="FF000000"/>
        </patternFill>
      </fill>
    </dxf>
    <dxf>
      <fill>
        <patternFill patternType="solid">
          <fgColor rgb="FFD9D9D9"/>
          <bgColor rgb="FF000000"/>
        </patternFill>
      </fill>
    </dxf>
    <dxf>
      <fill>
        <patternFill patternType="solid">
          <fgColor rgb="FFE4DFEC"/>
          <bgColor rgb="FF000000"/>
        </patternFill>
      </fill>
    </dxf>
    <dxf>
      <fill>
        <patternFill patternType="solid">
          <fgColor rgb="FFF2F2F2"/>
          <bgColor rgb="FF000000"/>
        </patternFill>
      </fill>
    </dxf>
    <dxf>
      <fill>
        <patternFill patternType="solid">
          <fgColor rgb="FFFFE699"/>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8C8C0"/>
      <rgbColor rgb="FF808080"/>
      <rgbColor rgb="FF9999FF"/>
      <rgbColor rgb="FF993366"/>
      <rgbColor rgb="FFF2F2EF"/>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4DFEC"/>
      <rgbColor rgb="FFC6E0B4"/>
      <rgbColor rgb="FFFFE699"/>
      <rgbColor rgb="FF99CCFF"/>
      <rgbColor rgb="FFFF99CC"/>
      <rgbColor rgb="FFCC99FF"/>
      <rgbColor rgb="FFD9D9D9"/>
      <rgbColor rgb="FF3366FF"/>
      <rgbColor rgb="FF33CCCC"/>
      <rgbColor rgb="FF99CC00"/>
      <rgbColor rgb="FFFFCC00"/>
      <rgbColor rgb="FFFF9900"/>
      <rgbColor rgb="FFFF6600"/>
      <rgbColor rgb="FF55554E"/>
      <rgbColor rgb="FF969696"/>
      <rgbColor rgb="FF003366"/>
      <rgbColor rgb="FF339966"/>
      <rgbColor rgb="FF003300"/>
      <rgbColor rgb="FF333300"/>
      <rgbColor rgb="FF993300"/>
      <rgbColor rgb="FF993366"/>
      <rgbColor rgb="FF333399"/>
      <rgbColor rgb="FF1F1F1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12"/>
  </cols>
  <sheetData>
    <row r="1" customFormat="false" ht="22.0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c r="B3" s="3"/>
    </row>
    <row r="4" customFormat="false" ht="15" hidden="false" customHeight="false" outlineLevel="0" collapsed="false">
      <c r="A4" s="4" t="s">
        <v>2</v>
      </c>
      <c r="B4" s="5"/>
    </row>
    <row r="5" customFormat="false" ht="15" hidden="false" customHeight="false" outlineLevel="0" collapsed="false">
      <c r="A5" s="3" t="s">
        <v>3</v>
      </c>
      <c r="B5" s="3" t="s">
        <v>4</v>
      </c>
    </row>
    <row r="6" customFormat="false" ht="15" hidden="false" customHeight="false" outlineLevel="0" collapsed="false">
      <c r="A6" s="3" t="s">
        <v>5</v>
      </c>
      <c r="B6" s="3" t="s">
        <v>6</v>
      </c>
    </row>
    <row r="7" customFormat="false" ht="15" hidden="false" customHeight="false" outlineLevel="0" collapsed="false">
      <c r="A7" s="3" t="s">
        <v>7</v>
      </c>
      <c r="B7" s="3" t="s">
        <v>8</v>
      </c>
    </row>
    <row r="8" customFormat="false" ht="15" hidden="false" customHeight="false" outlineLevel="0" collapsed="false">
      <c r="A8" s="3" t="s">
        <v>9</v>
      </c>
      <c r="B8" s="3" t="s">
        <v>10</v>
      </c>
    </row>
    <row r="9" customFormat="false" ht="15" hidden="false" customHeight="false" outlineLevel="0" collapsed="false">
      <c r="A9" s="3" t="s">
        <v>11</v>
      </c>
      <c r="B9" s="3" t="s">
        <v>12</v>
      </c>
    </row>
    <row r="10" customFormat="false" ht="15" hidden="false" customHeight="false" outlineLevel="0" collapsed="false">
      <c r="A10" s="3"/>
      <c r="B10" s="3"/>
    </row>
    <row r="11" customFormat="false" ht="15" hidden="false" customHeight="false" outlineLevel="0" collapsed="false">
      <c r="A11" s="4" t="s">
        <v>13</v>
      </c>
      <c r="B11" s="5"/>
    </row>
    <row r="12" customFormat="false" ht="15" hidden="false" customHeight="false" outlineLevel="0" collapsed="false">
      <c r="A12" s="6" t="s">
        <v>14</v>
      </c>
      <c r="B12" s="3" t="s">
        <v>15</v>
      </c>
    </row>
    <row r="13" customFormat="false" ht="15" hidden="false" customHeight="false" outlineLevel="0" collapsed="false">
      <c r="A13" s="6" t="s">
        <v>16</v>
      </c>
      <c r="B13" s="3" t="s">
        <v>17</v>
      </c>
    </row>
    <row r="14" customFormat="false" ht="15" hidden="false" customHeight="false" outlineLevel="0" collapsed="false">
      <c r="A14" s="6" t="s">
        <v>18</v>
      </c>
      <c r="B14" s="3" t="s">
        <v>19</v>
      </c>
    </row>
    <row r="15" customFormat="false" ht="15" hidden="false" customHeight="false" outlineLevel="0" collapsed="false">
      <c r="A15" s="6" t="s">
        <v>20</v>
      </c>
      <c r="B15" s="3" t="s">
        <v>21</v>
      </c>
    </row>
    <row r="16" customFormat="false" ht="15" hidden="false" customHeight="false" outlineLevel="0" collapsed="false">
      <c r="A16" s="3"/>
      <c r="B16" s="3"/>
    </row>
    <row r="17" customFormat="false" ht="15" hidden="false" customHeight="false" outlineLevel="0" collapsed="false">
      <c r="A17" s="4" t="s">
        <v>22</v>
      </c>
      <c r="B17" s="5" t="s">
        <v>23</v>
      </c>
    </row>
    <row r="18" customFormat="false" ht="15" hidden="false" customHeight="false" outlineLevel="0" collapsed="false">
      <c r="A18" s="7" t="s">
        <v>24</v>
      </c>
      <c r="B18" s="5" t="s">
        <v>25</v>
      </c>
    </row>
    <row r="19" customFormat="false" ht="15" hidden="false" customHeight="false" outlineLevel="0" collapsed="false">
      <c r="A19" s="8" t="s">
        <v>26</v>
      </c>
      <c r="B19" s="5" t="s">
        <v>27</v>
      </c>
    </row>
    <row r="20" customFormat="false" ht="15" hidden="false" customHeight="false" outlineLevel="0" collapsed="false">
      <c r="A20" s="9" t="s">
        <v>28</v>
      </c>
      <c r="B20" s="5" t="s">
        <v>29</v>
      </c>
    </row>
    <row r="21" customFormat="false" ht="15" hidden="false" customHeight="false" outlineLevel="0" collapsed="false">
      <c r="A21" s="10" t="s">
        <v>30</v>
      </c>
      <c r="B21" s="5" t="s">
        <v>31</v>
      </c>
    </row>
    <row r="22" customFormat="false" ht="15" hidden="false" customHeight="false" outlineLevel="0" collapsed="false">
      <c r="A22" s="11" t="s">
        <v>32</v>
      </c>
      <c r="B22" s="5" t="s">
        <v>33</v>
      </c>
    </row>
    <row r="23" customFormat="false" ht="15" hidden="false" customHeight="false" outlineLevel="0" collapsed="false">
      <c r="A23" s="12" t="s">
        <v>34</v>
      </c>
      <c r="B23" s="5" t="s">
        <v>35</v>
      </c>
    </row>
    <row r="24" customFormat="false" ht="15" hidden="false" customHeight="false" outlineLevel="0" collapsed="false">
      <c r="A24" s="3"/>
      <c r="B24" s="3"/>
    </row>
    <row r="25" customFormat="false" ht="15" hidden="false" customHeight="false" outlineLevel="0" collapsed="false">
      <c r="A25" s="4" t="s">
        <v>36</v>
      </c>
      <c r="B25" s="5"/>
    </row>
    <row r="26" customFormat="false" ht="23.85" hidden="false" customHeight="false" outlineLevel="0" collapsed="false">
      <c r="A26" s="3" t="s">
        <v>37</v>
      </c>
      <c r="B26" s="3" t="s">
        <v>38</v>
      </c>
    </row>
    <row r="27" customFormat="false" ht="15" hidden="false" customHeight="false" outlineLevel="0" collapsed="false">
      <c r="A27" s="3"/>
      <c r="B27" s="3"/>
    </row>
    <row r="28" customFormat="false" ht="15" hidden="false" customHeight="false" outlineLevel="0" collapsed="false">
      <c r="A28" s="4" t="s">
        <v>39</v>
      </c>
      <c r="B28" s="5"/>
    </row>
    <row r="29" customFormat="false" ht="23.85" hidden="false" customHeight="false" outlineLevel="0" collapsed="false">
      <c r="A29" s="3" t="s">
        <v>40</v>
      </c>
      <c r="B29" s="3" t="s">
        <v>41</v>
      </c>
    </row>
    <row r="30" customFormat="false" ht="15" hidden="false" customHeight="false" outlineLevel="0" collapsed="false">
      <c r="A30" s="3"/>
      <c r="B30" s="3"/>
    </row>
    <row r="31" customFormat="false" ht="15" hidden="false" customHeight="false" outlineLevel="0" collapsed="false">
      <c r="A31" s="4" t="s">
        <v>42</v>
      </c>
      <c r="B31" s="5" t="s">
        <v>43</v>
      </c>
    </row>
    <row r="32" customFormat="false" ht="15" hidden="false" customHeight="false" outlineLevel="0" collapsed="false">
      <c r="A32" s="3" t="s">
        <v>44</v>
      </c>
      <c r="B32" s="13" t="s">
        <v>45</v>
      </c>
    </row>
    <row r="33" customFormat="false" ht="15" hidden="false" customHeight="false" outlineLevel="0" collapsed="false">
      <c r="A33" s="3" t="s">
        <v>46</v>
      </c>
      <c r="B33" s="13" t="s">
        <v>47</v>
      </c>
    </row>
    <row r="34" customFormat="false" ht="15" hidden="false" customHeight="false" outlineLevel="0" collapsed="false">
      <c r="A34" s="3" t="s">
        <v>48</v>
      </c>
      <c r="B34" s="13" t="s">
        <v>49</v>
      </c>
    </row>
    <row r="35" customFormat="false" ht="15" hidden="false" customHeight="false" outlineLevel="0" collapsed="false">
      <c r="A35" s="3" t="s">
        <v>50</v>
      </c>
      <c r="B35" s="13" t="s">
        <v>51</v>
      </c>
    </row>
    <row r="36" customFormat="false" ht="15" hidden="false" customHeight="false" outlineLevel="0" collapsed="false">
      <c r="A36" s="3"/>
      <c r="B36" s="3"/>
    </row>
    <row r="37" customFormat="false" ht="15" hidden="false" customHeight="false" outlineLevel="0" collapsed="false">
      <c r="A37" s="4" t="s">
        <v>52</v>
      </c>
      <c r="B37" s="5"/>
    </row>
    <row r="38" customFormat="false" ht="15" hidden="false" customHeight="false" outlineLevel="0" collapsed="false">
      <c r="A38" s="3" t="s">
        <v>45</v>
      </c>
      <c r="B38" s="3" t="n">
        <f aca="false">COUNTIF(Events!$R$2:$R$16,"Go")</f>
        <v>0</v>
      </c>
    </row>
    <row r="39" customFormat="false" ht="15" hidden="false" customHeight="false" outlineLevel="0" collapsed="false">
      <c r="A39" s="3" t="s">
        <v>53</v>
      </c>
      <c r="B39" s="3" t="n">
        <f aca="false">COUNTIF(Events!$R$2:$R$16,"Maybe")</f>
        <v>0</v>
      </c>
    </row>
    <row r="40" customFormat="false" ht="15" hidden="false" customHeight="false" outlineLevel="0" collapsed="false">
      <c r="A40" s="3" t="s">
        <v>54</v>
      </c>
      <c r="B40" s="3" t="n">
        <f aca="false">COUNTIF(Events!$R$2:$R$16,"No")</f>
        <v>0</v>
      </c>
    </row>
    <row r="41" customFormat="false" ht="15" hidden="false" customHeight="false" outlineLevel="0" collapsed="false">
      <c r="A41" s="3" t="s">
        <v>55</v>
      </c>
      <c r="B41" s="3" t="n">
        <f aca="false">COUNTIF(Events!$R$2:$R$16,"Booked")</f>
        <v>0</v>
      </c>
    </row>
    <row r="42" customFormat="false" ht="15" hidden="false" customHeight="false" outlineLevel="0" collapsed="false">
      <c r="A42" s="3" t="s">
        <v>56</v>
      </c>
      <c r="B42" s="3" t="n">
        <f aca="false">COUNTIF(Events!$R$2:$R$16,"Done")</f>
        <v>0</v>
      </c>
    </row>
    <row r="43" customFormat="false" ht="15" hidden="false" customHeight="false" outlineLevel="0" collapsed="false">
      <c r="A43" s="3" t="s">
        <v>57</v>
      </c>
      <c r="B43" s="3" t="n">
        <f aca="false">COUNTBLANK(Events!$R$2:$R$16)</f>
        <v>15</v>
      </c>
    </row>
    <row r="44" customFormat="false" ht="15" hidden="false" customHeight="false" outlineLevel="0" collapsed="false">
      <c r="A44" s="3" t="s">
        <v>58</v>
      </c>
      <c r="B44" s="3" t="n">
        <f aca="false">COUNTA(Events!$E$2:$E$16)</f>
        <v>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13"/>
    <col collapsed="false" customWidth="true" hidden="false" outlineLevel="0" max="4" min="4" style="0" width="20"/>
    <col collapsed="false" customWidth="true" hidden="false" outlineLevel="0" max="5" min="5" style="0" width="34"/>
    <col collapsed="false" customWidth="true" hidden="false" outlineLevel="0" max="6" min="6" style="0" width="26"/>
    <col collapsed="false" customWidth="true" hidden="false" outlineLevel="0" max="7" min="7" style="0" width="24"/>
    <col collapsed="false" customWidth="true" hidden="false" outlineLevel="0" max="8" min="8" style="0" width="26"/>
    <col collapsed="false" customWidth="true" hidden="false" outlineLevel="0" max="9" min="9" style="0" width="34"/>
    <col collapsed="false" customWidth="true" hidden="false" outlineLevel="0" max="10" min="10" style="0" width="15"/>
    <col collapsed="false" customWidth="true" hidden="false" outlineLevel="0" max="11" min="11" style="0" width="14"/>
    <col collapsed="false" customWidth="true" hidden="false" outlineLevel="0" max="12" min="12" style="0" width="46"/>
    <col collapsed="false" customWidth="true" hidden="false" outlineLevel="0" max="13" min="13" style="0" width="36"/>
    <col collapsed="false" customWidth="true" hidden="false" outlineLevel="0" max="14" min="14" style="0" width="22"/>
    <col collapsed="false" customWidth="true" hidden="false" outlineLevel="0" max="15" min="15" style="0" width="40"/>
    <col collapsed="false" customWidth="true" hidden="false" outlineLevel="0" max="16" min="16" style="0" width="12"/>
    <col collapsed="false" customWidth="true" hidden="false" outlineLevel="0" max="17" min="17" style="0" width="32"/>
    <col collapsed="false" customWidth="true" hidden="false" outlineLevel="0" max="19" min="18" style="0" width="12"/>
    <col collapsed="false" customWidth="true" hidden="false" outlineLevel="0" max="20" min="20" style="0" width="13"/>
    <col collapsed="false" customWidth="true" hidden="false" outlineLevel="0" max="21" min="21" style="0" width="32"/>
  </cols>
  <sheetData>
    <row r="1" customFormat="false" ht="33.75" hidden="false" customHeight="true" outlineLevel="0" collapsed="false">
      <c r="A1" s="14" t="s">
        <v>59</v>
      </c>
      <c r="B1" s="14" t="s">
        <v>60</v>
      </c>
      <c r="C1" s="14" t="s">
        <v>61</v>
      </c>
      <c r="D1" s="14" t="s">
        <v>62</v>
      </c>
      <c r="E1" s="14" t="s">
        <v>63</v>
      </c>
      <c r="F1" s="14" t="s">
        <v>64</v>
      </c>
      <c r="G1" s="14" t="s">
        <v>65</v>
      </c>
      <c r="H1" s="14" t="s">
        <v>66</v>
      </c>
      <c r="I1" s="14" t="s">
        <v>67</v>
      </c>
      <c r="J1" s="14" t="s">
        <v>68</v>
      </c>
      <c r="K1" s="14" t="s">
        <v>9</v>
      </c>
      <c r="L1" s="14" t="s">
        <v>69</v>
      </c>
      <c r="M1" s="14" t="s">
        <v>70</v>
      </c>
      <c r="N1" s="14" t="s">
        <v>71</v>
      </c>
      <c r="O1" s="14" t="s">
        <v>72</v>
      </c>
      <c r="P1" s="14" t="s">
        <v>11</v>
      </c>
      <c r="Q1" s="14" t="s">
        <v>73</v>
      </c>
      <c r="R1" s="14" t="s">
        <v>44</v>
      </c>
      <c r="S1" s="14" t="s">
        <v>46</v>
      </c>
      <c r="T1" s="14" t="s">
        <v>48</v>
      </c>
      <c r="U1" s="14" t="s">
        <v>50</v>
      </c>
    </row>
    <row r="2" customFormat="false" ht="91.5" hidden="false" customHeight="true" outlineLevel="0" collapsed="false">
      <c r="A2" s="15" t="s">
        <v>14</v>
      </c>
      <c r="B2" s="16" t="s">
        <v>28</v>
      </c>
      <c r="C2" s="17"/>
      <c r="D2" s="18" t="s">
        <v>74</v>
      </c>
      <c r="E2" s="15" t="s">
        <v>75</v>
      </c>
      <c r="F2" s="18" t="s">
        <v>76</v>
      </c>
      <c r="G2" s="18" t="s">
        <v>77</v>
      </c>
      <c r="H2" s="18" t="s">
        <v>78</v>
      </c>
      <c r="I2" s="18" t="s">
        <v>79</v>
      </c>
      <c r="J2" s="18" t="s">
        <v>80</v>
      </c>
      <c r="K2" s="19" t="s">
        <v>81</v>
      </c>
      <c r="L2" s="18" t="s">
        <v>82</v>
      </c>
      <c r="M2" s="18" t="s">
        <v>83</v>
      </c>
      <c r="N2" s="18" t="s">
        <v>84</v>
      </c>
      <c r="O2" s="18" t="s">
        <v>85</v>
      </c>
      <c r="P2" s="18" t="s">
        <v>86</v>
      </c>
      <c r="Q2" s="18" t="s">
        <v>87</v>
      </c>
      <c r="R2" s="20"/>
      <c r="S2" s="20"/>
      <c r="T2" s="21"/>
      <c r="U2" s="20"/>
    </row>
    <row r="3" customFormat="false" ht="91.5" hidden="false" customHeight="true" outlineLevel="0" collapsed="false">
      <c r="A3" s="15" t="s">
        <v>14</v>
      </c>
      <c r="B3" s="22" t="s">
        <v>26</v>
      </c>
      <c r="C3" s="17" t="n">
        <v>46261</v>
      </c>
      <c r="D3" s="18" t="s">
        <v>88</v>
      </c>
      <c r="E3" s="15" t="s">
        <v>89</v>
      </c>
      <c r="F3" s="18" t="s">
        <v>90</v>
      </c>
      <c r="G3" s="18" t="s">
        <v>91</v>
      </c>
      <c r="H3" s="18" t="s">
        <v>92</v>
      </c>
      <c r="I3" s="18" t="s">
        <v>93</v>
      </c>
      <c r="J3" s="18" t="s">
        <v>80</v>
      </c>
      <c r="K3" s="19" t="s">
        <v>94</v>
      </c>
      <c r="L3" s="18" t="s">
        <v>95</v>
      </c>
      <c r="M3" s="18" t="s">
        <v>96</v>
      </c>
      <c r="N3" s="18" t="s">
        <v>97</v>
      </c>
      <c r="O3" s="18" t="s">
        <v>98</v>
      </c>
      <c r="P3" s="18" t="s">
        <v>99</v>
      </c>
      <c r="Q3" s="18" t="s">
        <v>100</v>
      </c>
      <c r="R3" s="20"/>
      <c r="S3" s="20"/>
      <c r="T3" s="21"/>
      <c r="U3" s="20"/>
    </row>
    <row r="4" customFormat="false" ht="91.5" hidden="false" customHeight="true" outlineLevel="0" collapsed="false">
      <c r="A4" s="15" t="s">
        <v>14</v>
      </c>
      <c r="B4" s="22" t="s">
        <v>26</v>
      </c>
      <c r="C4" s="17" t="n">
        <v>46288</v>
      </c>
      <c r="D4" s="18" t="s">
        <v>101</v>
      </c>
      <c r="E4" s="15" t="s">
        <v>102</v>
      </c>
      <c r="F4" s="18" t="s">
        <v>86</v>
      </c>
      <c r="G4" s="18" t="s">
        <v>91</v>
      </c>
      <c r="H4" s="18" t="s">
        <v>103</v>
      </c>
      <c r="I4" s="18" t="s">
        <v>93</v>
      </c>
      <c r="J4" s="18" t="s">
        <v>80</v>
      </c>
      <c r="K4" s="19" t="s">
        <v>94</v>
      </c>
      <c r="L4" s="18" t="s">
        <v>104</v>
      </c>
      <c r="M4" s="18" t="s">
        <v>105</v>
      </c>
      <c r="N4" s="18" t="s">
        <v>97</v>
      </c>
      <c r="O4" s="18" t="s">
        <v>106</v>
      </c>
      <c r="P4" s="18" t="s">
        <v>99</v>
      </c>
      <c r="Q4" s="18" t="s">
        <v>100</v>
      </c>
      <c r="R4" s="20"/>
      <c r="S4" s="20"/>
      <c r="T4" s="21"/>
      <c r="U4" s="20"/>
    </row>
    <row r="5" customFormat="false" ht="91.5" hidden="false" customHeight="true" outlineLevel="0" collapsed="false">
      <c r="A5" s="15" t="s">
        <v>14</v>
      </c>
      <c r="B5" s="23" t="s">
        <v>30</v>
      </c>
      <c r="C5" s="17" t="n">
        <v>46293</v>
      </c>
      <c r="D5" s="18" t="s">
        <v>107</v>
      </c>
      <c r="E5" s="15" t="s">
        <v>108</v>
      </c>
      <c r="F5" s="18" t="s">
        <v>109</v>
      </c>
      <c r="G5" s="18" t="s">
        <v>110</v>
      </c>
      <c r="H5" s="18" t="s">
        <v>111</v>
      </c>
      <c r="I5" s="18" t="s">
        <v>112</v>
      </c>
      <c r="J5" s="18" t="s">
        <v>113</v>
      </c>
      <c r="K5" s="24" t="s">
        <v>114</v>
      </c>
      <c r="L5" s="18" t="s">
        <v>115</v>
      </c>
      <c r="M5" s="18" t="s">
        <v>116</v>
      </c>
      <c r="N5" s="18" t="s">
        <v>117</v>
      </c>
      <c r="O5" s="18" t="s">
        <v>118</v>
      </c>
      <c r="P5" s="18" t="s">
        <v>99</v>
      </c>
      <c r="Q5" s="18" t="s">
        <v>119</v>
      </c>
      <c r="R5" s="20"/>
      <c r="S5" s="20"/>
      <c r="T5" s="21"/>
      <c r="U5" s="20"/>
    </row>
    <row r="6" customFormat="false" ht="91.5" hidden="false" customHeight="true" outlineLevel="0" collapsed="false">
      <c r="A6" s="15" t="s">
        <v>14</v>
      </c>
      <c r="B6" s="25" t="s">
        <v>24</v>
      </c>
      <c r="C6" s="17" t="n">
        <v>46301</v>
      </c>
      <c r="D6" s="18" t="s">
        <v>120</v>
      </c>
      <c r="E6" s="15" t="s">
        <v>121</v>
      </c>
      <c r="F6" s="18" t="s">
        <v>122</v>
      </c>
      <c r="G6" s="18" t="s">
        <v>123</v>
      </c>
      <c r="H6" s="18" t="s">
        <v>124</v>
      </c>
      <c r="I6" s="18" t="s">
        <v>125</v>
      </c>
      <c r="J6" s="18" t="s">
        <v>126</v>
      </c>
      <c r="K6" s="19" t="s">
        <v>94</v>
      </c>
      <c r="L6" s="18" t="s">
        <v>127</v>
      </c>
      <c r="M6" s="18" t="s">
        <v>128</v>
      </c>
      <c r="N6" s="18" t="s">
        <v>129</v>
      </c>
      <c r="O6" s="18" t="s">
        <v>130</v>
      </c>
      <c r="P6" s="18" t="s">
        <v>99</v>
      </c>
      <c r="Q6" s="18" t="s">
        <v>131</v>
      </c>
      <c r="R6" s="20"/>
      <c r="S6" s="20"/>
      <c r="T6" s="21"/>
      <c r="U6" s="20"/>
    </row>
    <row r="7" customFormat="false" ht="91.5" hidden="false" customHeight="true" outlineLevel="0" collapsed="false">
      <c r="A7" s="15" t="s">
        <v>16</v>
      </c>
      <c r="B7" s="22" t="s">
        <v>26</v>
      </c>
      <c r="C7" s="17"/>
      <c r="D7" s="18" t="s">
        <v>132</v>
      </c>
      <c r="E7" s="15" t="s">
        <v>133</v>
      </c>
      <c r="F7" s="18" t="s">
        <v>134</v>
      </c>
      <c r="G7" s="18" t="s">
        <v>135</v>
      </c>
      <c r="H7" s="18" t="s">
        <v>136</v>
      </c>
      <c r="I7" s="18" t="s">
        <v>137</v>
      </c>
      <c r="J7" s="18" t="s">
        <v>138</v>
      </c>
      <c r="K7" s="19" t="s">
        <v>81</v>
      </c>
      <c r="L7" s="18" t="s">
        <v>139</v>
      </c>
      <c r="M7" s="18" t="s">
        <v>140</v>
      </c>
      <c r="N7" s="18" t="s">
        <v>141</v>
      </c>
      <c r="O7" s="18" t="s">
        <v>142</v>
      </c>
      <c r="P7" s="18" t="s">
        <v>86</v>
      </c>
      <c r="Q7" s="18" t="s">
        <v>143</v>
      </c>
      <c r="R7" s="20"/>
      <c r="S7" s="20"/>
      <c r="T7" s="21"/>
      <c r="U7" s="20"/>
    </row>
    <row r="8" customFormat="false" ht="91.5" hidden="false" customHeight="true" outlineLevel="0" collapsed="false">
      <c r="A8" s="15" t="s">
        <v>16</v>
      </c>
      <c r="B8" s="26" t="s">
        <v>32</v>
      </c>
      <c r="C8" s="17" t="n">
        <v>46336</v>
      </c>
      <c r="D8" s="18" t="s">
        <v>144</v>
      </c>
      <c r="E8" s="15" t="s">
        <v>145</v>
      </c>
      <c r="F8" s="18" t="s">
        <v>146</v>
      </c>
      <c r="G8" s="18" t="s">
        <v>147</v>
      </c>
      <c r="H8" s="18" t="s">
        <v>148</v>
      </c>
      <c r="I8" s="18" t="s">
        <v>149</v>
      </c>
      <c r="J8" s="18" t="s">
        <v>150</v>
      </c>
      <c r="K8" s="24" t="s">
        <v>114</v>
      </c>
      <c r="L8" s="18" t="s">
        <v>151</v>
      </c>
      <c r="M8" s="18" t="s">
        <v>152</v>
      </c>
      <c r="N8" s="18" t="s">
        <v>153</v>
      </c>
      <c r="O8" s="18" t="s">
        <v>154</v>
      </c>
      <c r="P8" s="18" t="s">
        <v>99</v>
      </c>
      <c r="Q8" s="18" t="s">
        <v>155</v>
      </c>
      <c r="R8" s="20"/>
      <c r="S8" s="20"/>
      <c r="T8" s="21"/>
      <c r="U8" s="20"/>
    </row>
    <row r="9" customFormat="false" ht="91.5" hidden="false" customHeight="true" outlineLevel="0" collapsed="false">
      <c r="A9" s="15" t="s">
        <v>16</v>
      </c>
      <c r="B9" s="16" t="s">
        <v>28</v>
      </c>
      <c r="C9" s="17" t="n">
        <v>46342</v>
      </c>
      <c r="D9" s="18" t="s">
        <v>156</v>
      </c>
      <c r="E9" s="15" t="s">
        <v>157</v>
      </c>
      <c r="F9" s="18" t="s">
        <v>158</v>
      </c>
      <c r="G9" s="18" t="s">
        <v>159</v>
      </c>
      <c r="H9" s="18" t="s">
        <v>86</v>
      </c>
      <c r="I9" s="18" t="s">
        <v>160</v>
      </c>
      <c r="J9" s="18" t="s">
        <v>161</v>
      </c>
      <c r="K9" s="27" t="s">
        <v>162</v>
      </c>
      <c r="L9" s="18" t="s">
        <v>163</v>
      </c>
      <c r="M9" s="18" t="s">
        <v>164</v>
      </c>
      <c r="N9" s="18" t="s">
        <v>165</v>
      </c>
      <c r="O9" s="18" t="s">
        <v>166</v>
      </c>
      <c r="P9" s="18" t="s">
        <v>99</v>
      </c>
      <c r="Q9" s="18" t="s">
        <v>167</v>
      </c>
      <c r="R9" s="20"/>
      <c r="S9" s="20"/>
      <c r="T9" s="21"/>
      <c r="U9" s="20"/>
    </row>
    <row r="10" customFormat="false" ht="91.5" hidden="false" customHeight="true" outlineLevel="0" collapsed="false">
      <c r="A10" s="15" t="s">
        <v>18</v>
      </c>
      <c r="B10" s="16" t="s">
        <v>28</v>
      </c>
      <c r="C10" s="17" t="n">
        <v>46482</v>
      </c>
      <c r="D10" s="18" t="s">
        <v>168</v>
      </c>
      <c r="E10" s="15" t="s">
        <v>169</v>
      </c>
      <c r="F10" s="18" t="s">
        <v>146</v>
      </c>
      <c r="G10" s="18" t="s">
        <v>170</v>
      </c>
      <c r="H10" s="18" t="s">
        <v>171</v>
      </c>
      <c r="I10" s="18" t="s">
        <v>172</v>
      </c>
      <c r="J10" s="18" t="s">
        <v>173</v>
      </c>
      <c r="K10" s="27" t="s">
        <v>174</v>
      </c>
      <c r="L10" s="18" t="s">
        <v>175</v>
      </c>
      <c r="M10" s="18" t="s">
        <v>176</v>
      </c>
      <c r="N10" s="18" t="s">
        <v>177</v>
      </c>
      <c r="O10" s="18" t="s">
        <v>178</v>
      </c>
      <c r="P10" s="18" t="s">
        <v>99</v>
      </c>
      <c r="Q10" s="18" t="s">
        <v>179</v>
      </c>
      <c r="R10" s="20"/>
      <c r="S10" s="20"/>
      <c r="T10" s="21"/>
      <c r="U10" s="20"/>
    </row>
    <row r="11" customFormat="false" ht="91.5" hidden="false" customHeight="true" outlineLevel="0" collapsed="false">
      <c r="A11" s="15" t="s">
        <v>18</v>
      </c>
      <c r="B11" s="25" t="s">
        <v>24</v>
      </c>
      <c r="C11" s="17" t="n">
        <v>46503</v>
      </c>
      <c r="D11" s="18" t="s">
        <v>180</v>
      </c>
      <c r="E11" s="15" t="s">
        <v>181</v>
      </c>
      <c r="F11" s="18" t="s">
        <v>182</v>
      </c>
      <c r="G11" s="18" t="s">
        <v>183</v>
      </c>
      <c r="H11" s="18" t="s">
        <v>184</v>
      </c>
      <c r="I11" s="18" t="s">
        <v>185</v>
      </c>
      <c r="J11" s="18" t="s">
        <v>186</v>
      </c>
      <c r="K11" s="19" t="s">
        <v>94</v>
      </c>
      <c r="L11" s="18" t="s">
        <v>187</v>
      </c>
      <c r="M11" s="18" t="s">
        <v>188</v>
      </c>
      <c r="N11" s="18" t="s">
        <v>189</v>
      </c>
      <c r="O11" s="18" t="s">
        <v>190</v>
      </c>
      <c r="P11" s="18" t="s">
        <v>99</v>
      </c>
      <c r="Q11" s="18" t="s">
        <v>191</v>
      </c>
      <c r="R11" s="20"/>
      <c r="S11" s="20"/>
      <c r="T11" s="21"/>
      <c r="U11" s="20"/>
    </row>
    <row r="12" customFormat="false" ht="91.5" hidden="false" customHeight="true" outlineLevel="0" collapsed="false">
      <c r="A12" s="15" t="s">
        <v>18</v>
      </c>
      <c r="B12" s="22" t="s">
        <v>26</v>
      </c>
      <c r="C12" s="17" t="n">
        <v>46555</v>
      </c>
      <c r="D12" s="18" t="s">
        <v>192</v>
      </c>
      <c r="E12" s="15" t="s">
        <v>193</v>
      </c>
      <c r="F12" s="18" t="s">
        <v>194</v>
      </c>
      <c r="G12" s="18" t="s">
        <v>195</v>
      </c>
      <c r="H12" s="18" t="s">
        <v>86</v>
      </c>
      <c r="I12" s="18" t="s">
        <v>93</v>
      </c>
      <c r="J12" s="18" t="s">
        <v>196</v>
      </c>
      <c r="K12" s="19" t="s">
        <v>197</v>
      </c>
      <c r="L12" s="18" t="s">
        <v>198</v>
      </c>
      <c r="M12" s="18" t="s">
        <v>199</v>
      </c>
      <c r="N12" s="18" t="s">
        <v>200</v>
      </c>
      <c r="O12" s="18" t="s">
        <v>201</v>
      </c>
      <c r="P12" s="18" t="s">
        <v>86</v>
      </c>
      <c r="Q12" s="18" t="s">
        <v>202</v>
      </c>
      <c r="R12" s="20"/>
      <c r="S12" s="20"/>
      <c r="T12" s="21"/>
      <c r="U12" s="20"/>
    </row>
    <row r="13" customFormat="false" ht="91.5" hidden="false" customHeight="true" outlineLevel="0" collapsed="false">
      <c r="A13" s="15" t="s">
        <v>18</v>
      </c>
      <c r="B13" s="22" t="s">
        <v>26</v>
      </c>
      <c r="C13" s="17"/>
      <c r="D13" s="18" t="s">
        <v>203</v>
      </c>
      <c r="E13" s="15" t="s">
        <v>204</v>
      </c>
      <c r="F13" s="18" t="s">
        <v>205</v>
      </c>
      <c r="G13" s="18" t="s">
        <v>206</v>
      </c>
      <c r="H13" s="18" t="s">
        <v>86</v>
      </c>
      <c r="I13" s="18" t="s">
        <v>93</v>
      </c>
      <c r="J13" s="18" t="s">
        <v>196</v>
      </c>
      <c r="K13" s="19" t="s">
        <v>197</v>
      </c>
      <c r="L13" s="18" t="s">
        <v>207</v>
      </c>
      <c r="M13" s="18" t="s">
        <v>208</v>
      </c>
      <c r="N13" s="18" t="s">
        <v>200</v>
      </c>
      <c r="O13" s="18" t="s">
        <v>209</v>
      </c>
      <c r="P13" s="18" t="s">
        <v>86</v>
      </c>
      <c r="Q13" s="18" t="s">
        <v>210</v>
      </c>
      <c r="R13" s="20"/>
      <c r="S13" s="20"/>
      <c r="T13" s="21"/>
      <c r="U13" s="20"/>
    </row>
    <row r="14" customFormat="false" ht="91.5" hidden="false" customHeight="true" outlineLevel="0" collapsed="false">
      <c r="A14" s="15" t="s">
        <v>18</v>
      </c>
      <c r="B14" s="22" t="s">
        <v>26</v>
      </c>
      <c r="C14" s="17"/>
      <c r="D14" s="18" t="s">
        <v>203</v>
      </c>
      <c r="E14" s="15" t="s">
        <v>211</v>
      </c>
      <c r="F14" s="18" t="s">
        <v>205</v>
      </c>
      <c r="G14" s="18" t="s">
        <v>212</v>
      </c>
      <c r="H14" s="18" t="s">
        <v>86</v>
      </c>
      <c r="I14" s="18" t="s">
        <v>93</v>
      </c>
      <c r="J14" s="18" t="s">
        <v>196</v>
      </c>
      <c r="K14" s="27" t="s">
        <v>213</v>
      </c>
      <c r="L14" s="18" t="s">
        <v>207</v>
      </c>
      <c r="M14" s="18" t="s">
        <v>214</v>
      </c>
      <c r="N14" s="18" t="s">
        <v>200</v>
      </c>
      <c r="O14" s="18" t="s">
        <v>215</v>
      </c>
      <c r="P14" s="18" t="s">
        <v>86</v>
      </c>
      <c r="Q14" s="18" t="s">
        <v>216</v>
      </c>
      <c r="R14" s="20"/>
      <c r="S14" s="20"/>
      <c r="T14" s="21"/>
      <c r="U14" s="20"/>
    </row>
    <row r="15" customFormat="false" ht="91.5" hidden="false" customHeight="true" outlineLevel="0" collapsed="false">
      <c r="A15" s="15" t="s">
        <v>20</v>
      </c>
      <c r="B15" s="25" t="s">
        <v>24</v>
      </c>
      <c r="C15" s="17"/>
      <c r="D15" s="18" t="s">
        <v>217</v>
      </c>
      <c r="E15" s="15" t="s">
        <v>218</v>
      </c>
      <c r="F15" s="18" t="s">
        <v>86</v>
      </c>
      <c r="G15" s="18" t="s">
        <v>123</v>
      </c>
      <c r="H15" s="18" t="s">
        <v>219</v>
      </c>
      <c r="I15" s="18" t="s">
        <v>220</v>
      </c>
      <c r="J15" s="18" t="s">
        <v>126</v>
      </c>
      <c r="K15" s="19" t="s">
        <v>94</v>
      </c>
      <c r="L15" s="18" t="s">
        <v>221</v>
      </c>
      <c r="M15" s="18" t="s">
        <v>222</v>
      </c>
      <c r="N15" s="18" t="s">
        <v>223</v>
      </c>
      <c r="O15" s="18" t="s">
        <v>224</v>
      </c>
      <c r="P15" s="18" t="s">
        <v>86</v>
      </c>
      <c r="Q15" s="18" t="s">
        <v>225</v>
      </c>
      <c r="R15" s="20"/>
      <c r="S15" s="20"/>
      <c r="T15" s="21"/>
      <c r="U15" s="20"/>
    </row>
    <row r="16" customFormat="false" ht="91.5" hidden="false" customHeight="true" outlineLevel="0" collapsed="false">
      <c r="A16" s="15" t="s">
        <v>20</v>
      </c>
      <c r="B16" s="28" t="s">
        <v>34</v>
      </c>
      <c r="C16" s="17" t="n">
        <v>46705</v>
      </c>
      <c r="D16" s="18" t="s">
        <v>226</v>
      </c>
      <c r="E16" s="15" t="s">
        <v>227</v>
      </c>
      <c r="F16" s="18" t="s">
        <v>146</v>
      </c>
      <c r="G16" s="18" t="s">
        <v>147</v>
      </c>
      <c r="H16" s="18" t="s">
        <v>228</v>
      </c>
      <c r="I16" s="18" t="s">
        <v>229</v>
      </c>
      <c r="J16" s="18" t="s">
        <v>150</v>
      </c>
      <c r="K16" s="24" t="s">
        <v>114</v>
      </c>
      <c r="L16" s="18" t="s">
        <v>230</v>
      </c>
      <c r="M16" s="18" t="s">
        <v>231</v>
      </c>
      <c r="N16" s="18" t="s">
        <v>232</v>
      </c>
      <c r="O16" s="18" t="s">
        <v>233</v>
      </c>
      <c r="P16" s="18" t="s">
        <v>99</v>
      </c>
      <c r="Q16" s="18" t="s">
        <v>234</v>
      </c>
      <c r="R16" s="20"/>
      <c r="S16" s="20"/>
      <c r="T16" s="21"/>
      <c r="U16" s="20"/>
    </row>
  </sheetData>
  <autoFilter ref="A1:U16"/>
  <dataValidations count="1">
    <dataValidation allowBlank="true" errorStyle="stop" operator="between" prompt="Pick one" promptTitle="Decision" showDropDown="false" showErrorMessage="false" showInputMessage="false" sqref="R2:R16" type="list">
      <formula1>"Go,Maybe,No,Booked,Done"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40"/>
    <col collapsed="false" customWidth="true" hidden="false" outlineLevel="0" max="4" min="4" style="0" width="60"/>
    <col collapsed="false" customWidth="true" hidden="false" outlineLevel="0" max="5" min="5" style="0" width="15"/>
    <col collapsed="false" customWidth="true" hidden="false" outlineLevel="0" max="6" min="6" style="0" width="52"/>
    <col collapsed="false" customWidth="true" hidden="false" outlineLevel="0" max="7" min="7" style="0" width="44"/>
  </cols>
  <sheetData>
    <row r="1" customFormat="false" ht="17.35" hidden="false" customHeight="false" outlineLevel="0" collapsed="false">
      <c r="A1" s="29" t="s">
        <v>235</v>
      </c>
    </row>
    <row r="2" customFormat="false" ht="15" hidden="false" customHeight="false" outlineLevel="0" collapsed="false">
      <c r="A2" s="2" t="s">
        <v>236</v>
      </c>
    </row>
    <row r="4" customFormat="false" ht="30" hidden="false" customHeight="true" outlineLevel="0" collapsed="false">
      <c r="A4" s="14" t="s">
        <v>237</v>
      </c>
      <c r="B4" s="14" t="s">
        <v>238</v>
      </c>
      <c r="C4" s="14" t="s">
        <v>239</v>
      </c>
      <c r="D4" s="14" t="s">
        <v>240</v>
      </c>
      <c r="E4" s="14" t="s">
        <v>241</v>
      </c>
      <c r="F4" s="14" t="s">
        <v>242</v>
      </c>
      <c r="G4" s="14" t="s">
        <v>243</v>
      </c>
    </row>
    <row r="5" customFormat="false" ht="73.5" hidden="false" customHeight="true" outlineLevel="0" collapsed="false">
      <c r="A5" s="15" t="s">
        <v>244</v>
      </c>
      <c r="B5" s="18" t="s">
        <v>245</v>
      </c>
      <c r="C5" s="18" t="s">
        <v>246</v>
      </c>
      <c r="D5" s="18" t="s">
        <v>247</v>
      </c>
      <c r="E5" s="19" t="s">
        <v>248</v>
      </c>
      <c r="F5" s="18" t="s">
        <v>249</v>
      </c>
      <c r="G5" s="18" t="s">
        <v>250</v>
      </c>
    </row>
    <row r="6" customFormat="false" ht="73.5" hidden="false" customHeight="true" outlineLevel="0" collapsed="false">
      <c r="A6" s="15" t="s">
        <v>77</v>
      </c>
      <c r="B6" s="18" t="s">
        <v>80</v>
      </c>
      <c r="C6" s="18" t="s">
        <v>251</v>
      </c>
      <c r="D6" s="18" t="s">
        <v>252</v>
      </c>
      <c r="E6" s="19" t="s">
        <v>248</v>
      </c>
      <c r="F6" s="18" t="s">
        <v>253</v>
      </c>
      <c r="G6" s="18" t="s">
        <v>254</v>
      </c>
    </row>
    <row r="7" customFormat="false" ht="73.5" hidden="false" customHeight="true" outlineLevel="0" collapsed="false">
      <c r="A7" s="15" t="s">
        <v>255</v>
      </c>
      <c r="B7" s="18" t="s">
        <v>173</v>
      </c>
      <c r="C7" s="18" t="s">
        <v>256</v>
      </c>
      <c r="D7" s="18" t="s">
        <v>257</v>
      </c>
      <c r="E7" s="19" t="s">
        <v>258</v>
      </c>
      <c r="F7" s="18" t="s">
        <v>259</v>
      </c>
      <c r="G7" s="18" t="s">
        <v>260</v>
      </c>
    </row>
    <row r="8" customFormat="false" ht="73.5" hidden="false" customHeight="true" outlineLevel="0" collapsed="false">
      <c r="A8" s="15" t="s">
        <v>261</v>
      </c>
      <c r="B8" s="18" t="s">
        <v>161</v>
      </c>
      <c r="C8" s="18" t="s">
        <v>262</v>
      </c>
      <c r="D8" s="18" t="s">
        <v>263</v>
      </c>
      <c r="E8" s="27" t="s">
        <v>264</v>
      </c>
      <c r="F8" s="18" t="s">
        <v>265</v>
      </c>
      <c r="G8" s="18" t="s">
        <v>266</v>
      </c>
    </row>
    <row r="9" customFormat="false" ht="73.5" hidden="false" customHeight="true" outlineLevel="0" collapsed="false">
      <c r="A9" s="15" t="s">
        <v>267</v>
      </c>
      <c r="B9" s="18" t="s">
        <v>268</v>
      </c>
      <c r="C9" s="18" t="s">
        <v>269</v>
      </c>
      <c r="D9" s="18" t="s">
        <v>270</v>
      </c>
      <c r="E9" s="24" t="s">
        <v>271</v>
      </c>
      <c r="F9" s="18" t="s">
        <v>272</v>
      </c>
      <c r="G9" s="18" t="s">
        <v>273</v>
      </c>
    </row>
    <row r="10" customFormat="false" ht="73.5" hidden="false" customHeight="true" outlineLevel="0" collapsed="false">
      <c r="A10" s="15" t="s">
        <v>274</v>
      </c>
      <c r="B10" s="18" t="s">
        <v>268</v>
      </c>
      <c r="C10" s="18" t="s">
        <v>275</v>
      </c>
      <c r="D10" s="18" t="s">
        <v>270</v>
      </c>
      <c r="E10" s="24" t="s">
        <v>271</v>
      </c>
      <c r="F10" s="18" t="s">
        <v>276</v>
      </c>
      <c r="G10" s="18" t="s">
        <v>277</v>
      </c>
    </row>
    <row r="11" customFormat="false" ht="73.5" hidden="false" customHeight="true" outlineLevel="0" collapsed="false">
      <c r="A11" s="15" t="s">
        <v>278</v>
      </c>
      <c r="B11" s="18" t="s">
        <v>279</v>
      </c>
      <c r="C11" s="18" t="s">
        <v>280</v>
      </c>
      <c r="D11" s="18" t="s">
        <v>281</v>
      </c>
      <c r="E11" s="24" t="s">
        <v>282</v>
      </c>
      <c r="F11" s="18" t="s">
        <v>283</v>
      </c>
      <c r="G11" s="18" t="s">
        <v>284</v>
      </c>
    </row>
    <row r="13" customFormat="false" ht="45.75" hidden="false" customHeight="true" outlineLevel="0" collapsed="false">
      <c r="A13" s="30" t="s">
        <v>285</v>
      </c>
      <c r="C13" s="31" t="s">
        <v>286</v>
      </c>
      <c r="D13" s="31"/>
      <c r="E13" s="31"/>
      <c r="F13" s="31"/>
      <c r="G13" s="31"/>
    </row>
  </sheetData>
  <mergeCells count="1">
    <mergeCell ref="C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95"/>
  </cols>
  <sheetData>
    <row r="1" customFormat="false" ht="17.35" hidden="false" customHeight="false" outlineLevel="0" collapsed="false">
      <c r="A1" s="29" t="s">
        <v>287</v>
      </c>
    </row>
    <row r="2" customFormat="false" ht="15" hidden="false" customHeight="false" outlineLevel="0" collapsed="false">
      <c r="A2" s="2" t="s">
        <v>288</v>
      </c>
    </row>
    <row r="4" customFormat="false" ht="15" hidden="false" customHeight="false" outlineLevel="0" collapsed="false">
      <c r="A4" s="32" t="s">
        <v>289</v>
      </c>
      <c r="B4" s="32" t="s">
        <v>290</v>
      </c>
    </row>
    <row r="5" customFormat="false" ht="48" hidden="false" customHeight="true" outlineLevel="0" collapsed="false">
      <c r="A5" s="18" t="s">
        <v>291</v>
      </c>
      <c r="B5" s="18" t="s">
        <v>292</v>
      </c>
    </row>
    <row r="6" customFormat="false" ht="48" hidden="false" customHeight="true" outlineLevel="0" collapsed="false">
      <c r="A6" s="18" t="s">
        <v>293</v>
      </c>
      <c r="B6" s="18" t="s">
        <v>294</v>
      </c>
    </row>
    <row r="7" customFormat="false" ht="48" hidden="false" customHeight="true" outlineLevel="0" collapsed="false">
      <c r="A7" s="18" t="s">
        <v>295</v>
      </c>
      <c r="B7" s="18" t="s">
        <v>296</v>
      </c>
    </row>
    <row r="8" customFormat="false" ht="48" hidden="false" customHeight="true" outlineLevel="0" collapsed="false">
      <c r="A8" s="18" t="s">
        <v>297</v>
      </c>
      <c r="B8" s="18" t="s">
        <v>298</v>
      </c>
    </row>
    <row r="9" customFormat="false" ht="48" hidden="false" customHeight="true" outlineLevel="0" collapsed="false">
      <c r="A9" s="18" t="s">
        <v>299</v>
      </c>
      <c r="B9" s="18" t="s">
        <v>300</v>
      </c>
    </row>
    <row r="10" customFormat="false" ht="48" hidden="false" customHeight="true" outlineLevel="0" collapsed="false">
      <c r="A10" s="18" t="s">
        <v>301</v>
      </c>
      <c r="B10" s="18" t="s">
        <v>302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82"/>
    <col collapsed="false" customWidth="true" hidden="false" outlineLevel="0" max="3" min="3" style="0" width="26"/>
    <col collapsed="false" customWidth="true" hidden="false" outlineLevel="0" max="5" min="4" style="0" width="14"/>
    <col collapsed="false" customWidth="true" hidden="false" outlineLevel="0" max="6" min="6" style="0" width="32"/>
  </cols>
  <sheetData>
    <row r="1" customFormat="false" ht="17.35" hidden="false" customHeight="false" outlineLevel="0" collapsed="false">
      <c r="A1" s="29" t="s">
        <v>303</v>
      </c>
    </row>
    <row r="2" customFormat="false" ht="15" hidden="false" customHeight="false" outlineLevel="0" collapsed="false">
      <c r="A2" s="2" t="s">
        <v>304</v>
      </c>
    </row>
    <row r="4" customFormat="false" ht="15" hidden="false" customHeight="false" outlineLevel="0" collapsed="false">
      <c r="A4" s="32" t="s">
        <v>305</v>
      </c>
      <c r="B4" s="32" t="s">
        <v>306</v>
      </c>
      <c r="C4" s="32" t="s">
        <v>307</v>
      </c>
      <c r="D4" s="32" t="s">
        <v>308</v>
      </c>
      <c r="E4" s="32" t="s">
        <v>46</v>
      </c>
      <c r="F4" s="32" t="s">
        <v>50</v>
      </c>
    </row>
    <row r="5" customFormat="false" ht="42" hidden="false" customHeight="true" outlineLevel="0" collapsed="false">
      <c r="A5" s="18" t="n">
        <v>1</v>
      </c>
      <c r="B5" s="18" t="s">
        <v>309</v>
      </c>
      <c r="C5" s="18" t="s">
        <v>310</v>
      </c>
      <c r="D5" s="20"/>
      <c r="E5" s="20"/>
      <c r="F5" s="20"/>
    </row>
    <row r="6" customFormat="false" ht="42" hidden="false" customHeight="true" outlineLevel="0" collapsed="false">
      <c r="A6" s="18" t="n">
        <v>2</v>
      </c>
      <c r="B6" s="18" t="s">
        <v>311</v>
      </c>
      <c r="C6" s="18" t="s">
        <v>312</v>
      </c>
      <c r="D6" s="20"/>
      <c r="E6" s="20"/>
      <c r="F6" s="20"/>
    </row>
    <row r="7" customFormat="false" ht="42" hidden="false" customHeight="true" outlineLevel="0" collapsed="false">
      <c r="A7" s="18" t="n">
        <v>3</v>
      </c>
      <c r="B7" s="18" t="s">
        <v>313</v>
      </c>
      <c r="C7" s="18" t="s">
        <v>314</v>
      </c>
      <c r="D7" s="20"/>
      <c r="E7" s="20"/>
      <c r="F7" s="20"/>
    </row>
    <row r="8" customFormat="false" ht="42" hidden="false" customHeight="true" outlineLevel="0" collapsed="false">
      <c r="A8" s="18" t="n">
        <v>4</v>
      </c>
      <c r="B8" s="18" t="s">
        <v>315</v>
      </c>
      <c r="C8" s="18" t="s">
        <v>316</v>
      </c>
      <c r="D8" s="20"/>
      <c r="E8" s="20"/>
      <c r="F8" s="20"/>
    </row>
    <row r="9" customFormat="false" ht="42" hidden="false" customHeight="true" outlineLevel="0" collapsed="false">
      <c r="A9" s="18" t="n">
        <v>5</v>
      </c>
      <c r="B9" s="18" t="s">
        <v>317</v>
      </c>
      <c r="C9" s="18" t="s">
        <v>318</v>
      </c>
      <c r="D9" s="20"/>
      <c r="E9" s="20"/>
      <c r="F9" s="20"/>
    </row>
    <row r="10" customFormat="false" ht="42" hidden="false" customHeight="true" outlineLevel="0" collapsed="false">
      <c r="A10" s="18" t="n">
        <v>6</v>
      </c>
      <c r="B10" s="18" t="s">
        <v>319</v>
      </c>
      <c r="C10" s="18" t="s">
        <v>320</v>
      </c>
      <c r="D10" s="20"/>
      <c r="E10" s="20"/>
      <c r="F10" s="20"/>
    </row>
    <row r="11" customFormat="false" ht="42" hidden="false" customHeight="true" outlineLevel="0" collapsed="false">
      <c r="A11" s="18" t="n">
        <v>7</v>
      </c>
      <c r="B11" s="18" t="s">
        <v>321</v>
      </c>
      <c r="C11" s="18" t="s">
        <v>322</v>
      </c>
      <c r="D11" s="20"/>
      <c r="E11" s="20"/>
      <c r="F11" s="20"/>
    </row>
    <row r="12" customFormat="false" ht="42" hidden="false" customHeight="true" outlineLevel="0" collapsed="false">
      <c r="A12" s="18" t="n">
        <v>8</v>
      </c>
      <c r="B12" s="18" t="s">
        <v>323</v>
      </c>
      <c r="C12" s="18" t="s">
        <v>314</v>
      </c>
      <c r="D12" s="20"/>
      <c r="E12" s="20"/>
      <c r="F12" s="20"/>
    </row>
    <row r="13" customFormat="false" ht="42" hidden="false" customHeight="true" outlineLevel="0" collapsed="false">
      <c r="A13" s="18" t="n">
        <v>9</v>
      </c>
      <c r="B13" s="18" t="s">
        <v>324</v>
      </c>
      <c r="C13" s="18" t="s">
        <v>318</v>
      </c>
      <c r="D13" s="20"/>
      <c r="E13" s="20"/>
      <c r="F13" s="20"/>
    </row>
    <row r="14" customFormat="false" ht="42" hidden="false" customHeight="true" outlineLevel="0" collapsed="false">
      <c r="A14" s="18" t="n">
        <v>10</v>
      </c>
      <c r="B14" s="18" t="s">
        <v>325</v>
      </c>
      <c r="C14" s="18" t="s">
        <v>326</v>
      </c>
      <c r="D14" s="20"/>
      <c r="E14" s="20"/>
      <c r="F14" s="20"/>
    </row>
  </sheetData>
  <dataValidations count="1">
    <dataValidation allowBlank="true" errorStyle="stop" operator="between" showDropDown="false" showErrorMessage="false" showInputMessage="false" sqref="D5:D14" type="list">
      <formula1>"Open,In progress,Answered,Dropped"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2026-08-15T09:52:21Z</dcterms:created>
  <dc:creator>openpyxl</dc:creator>
  <dc:description/>
  <dc:language>en-US</dc:language>
  <cp:lastModifiedBy/>
  <dcterms:modified xsi:type="dcterms:W3CDTF">2026-08-15T09:52:21Z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