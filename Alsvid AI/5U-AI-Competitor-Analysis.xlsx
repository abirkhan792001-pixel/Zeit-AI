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hana\5U AI\"/>
    </mc:Choice>
  </mc:AlternateContent>
  <xr:revisionPtr revIDLastSave="0" documentId="13_ncr:1_{47B0EC84-71A8-40C3-92DE-55D720EF2401}" xr6:coauthVersionLast="47" xr6:coauthVersionMax="47" xr10:uidLastSave="{00000000-0000-0000-0000-000000000000}"/>
  <bookViews>
    <workbookView xWindow="-110" yWindow="-110" windowWidth="19420" windowHeight="11500" activeTab="4" xr2:uid="{00000000-000D-0000-FFFF-FFFF00000000}"/>
  </bookViews>
  <sheets>
    <sheet name="Read me" sheetId="1" r:id="rId1"/>
    <sheet name="Competitor master" sheetId="2" r:id="rId2"/>
    <sheet name="Feature matrix" sheetId="3" r:id="rId3"/>
    <sheet name="Pricing" sheetId="4" r:id="rId4"/>
    <sheet name="Vs 5U AI" sheetId="5" r:id="rId5"/>
    <sheet name="Pricing benchmarks" sheetId="6" r:id="rId6"/>
    <sheet name="Pricing recommendation" sheetId="7" r:id="rId7"/>
    <sheet name="Market sizing" sheetId="8" r:id="rId8"/>
    <sheet name="GTM and ICP" sheetId="9" r:id="rId9"/>
    <sheet name="Whitespace" sheetId="10" r:id="rId10"/>
    <sheet name="Unit economics" sheetId="11" r:id="rId11"/>
    <sheet name="Horizontal platforms" sheetId="12" r:id="rId12"/>
    <sheet name="Sources" sheetId="13" r:id="rId13"/>
  </sheets>
  <definedNames>
    <definedName name="_xlnm._FilterDatabase" localSheetId="1" hidden="1">'Competitor master'!$A$3:$R$30</definedName>
    <definedName name="_xlnm._FilterDatabase" localSheetId="8" hidden="1">'GTM and ICP'!$A$4:$L$20</definedName>
    <definedName name="_xlnm._FilterDatabase" localSheetId="3" hidden="1">Pricing!$A$3:$J$24</definedName>
    <definedName name="_xlnm._FilterDatabase" localSheetId="4" hidden="1">'Vs 5U AI'!$A$3:$G$24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11" l="1"/>
  <c r="B61" i="11"/>
  <c r="B54" i="11"/>
  <c r="B51" i="11"/>
  <c r="B50" i="11"/>
  <c r="B46" i="11"/>
  <c r="D33" i="11"/>
  <c r="C33" i="11"/>
  <c r="B33" i="11"/>
  <c r="D32" i="11"/>
  <c r="C32" i="11"/>
  <c r="B32" i="11"/>
  <c r="D31" i="11"/>
  <c r="C31" i="11"/>
  <c r="D28" i="11"/>
  <c r="C28" i="11"/>
  <c r="B28" i="11"/>
  <c r="D25" i="11"/>
  <c r="D29" i="11" s="1"/>
  <c r="C25" i="11"/>
  <c r="C29" i="11" s="1"/>
  <c r="B25" i="11"/>
  <c r="B15" i="11"/>
  <c r="B9" i="11"/>
  <c r="B8" i="11"/>
  <c r="B44" i="11" s="1"/>
  <c r="B45" i="11" s="1"/>
  <c r="D38" i="8"/>
  <c r="D40" i="8" s="1"/>
  <c r="D36" i="8"/>
  <c r="D44" i="8" s="1"/>
  <c r="D46" i="8" s="1"/>
  <c r="C36" i="8"/>
  <c r="B36" i="8"/>
  <c r="D29" i="8"/>
  <c r="D32" i="8" s="1"/>
  <c r="C29" i="8"/>
  <c r="B29" i="8"/>
  <c r="B32" i="8" s="1"/>
  <c r="D26" i="8"/>
  <c r="B26" i="8"/>
  <c r="E26" i="8" s="1"/>
  <c r="E43" i="7"/>
  <c r="D43" i="7"/>
  <c r="C43" i="7"/>
  <c r="B43" i="7"/>
  <c r="E42" i="7"/>
  <c r="D42" i="7"/>
  <c r="C42" i="7"/>
  <c r="B42" i="7"/>
  <c r="E41" i="7"/>
  <c r="D41" i="7"/>
  <c r="C41" i="7"/>
  <c r="E40" i="7"/>
  <c r="D40" i="7"/>
  <c r="C40" i="7"/>
  <c r="B40" i="7"/>
  <c r="B41" i="7" s="1"/>
  <c r="E39" i="7"/>
  <c r="D39" i="7"/>
  <c r="C39" i="7"/>
  <c r="B39" i="7"/>
  <c r="B31" i="7"/>
  <c r="B18" i="7"/>
  <c r="B18" i="6"/>
  <c r="T29" i="3"/>
  <c r="T28" i="3"/>
  <c r="T27" i="3"/>
  <c r="T26" i="3"/>
  <c r="T25" i="3"/>
  <c r="T24" i="3"/>
  <c r="T23" i="3"/>
  <c r="T22" i="3"/>
  <c r="T21" i="3"/>
  <c r="T20" i="3"/>
  <c r="T19" i="3"/>
  <c r="T18" i="3"/>
  <c r="T17" i="3"/>
  <c r="T16" i="3"/>
  <c r="T15" i="3"/>
  <c r="T14" i="3"/>
  <c r="T13" i="3"/>
  <c r="T12" i="3"/>
  <c r="T11" i="3"/>
  <c r="T10" i="3"/>
  <c r="T9" i="3"/>
  <c r="T8" i="3"/>
  <c r="T7" i="3"/>
  <c r="T6" i="3"/>
  <c r="T5" i="3"/>
  <c r="T4" i="3"/>
  <c r="B23" i="1"/>
  <c r="B22" i="1"/>
  <c r="B21" i="1"/>
  <c r="B20" i="1"/>
  <c r="B19" i="1"/>
  <c r="B31" i="11" l="1"/>
  <c r="B29" i="11"/>
  <c r="B34" i="11" s="1"/>
  <c r="B35" i="11" s="1"/>
  <c r="B36" i="11" s="1"/>
  <c r="D30" i="11"/>
  <c r="C30" i="11"/>
  <c r="B30" i="11"/>
  <c r="C44" i="8"/>
  <c r="C46" i="8" s="1"/>
  <c r="C38" i="8"/>
  <c r="C40" i="8" s="1"/>
  <c r="B44" i="8"/>
  <c r="B38" i="8"/>
  <c r="E36" i="8"/>
  <c r="C32" i="8"/>
  <c r="E32" i="8" s="1"/>
  <c r="B59" i="8" s="1"/>
  <c r="E29" i="8"/>
  <c r="D34" i="11" l="1"/>
  <c r="D35" i="11" s="1"/>
  <c r="D36" i="11" s="1"/>
  <c r="D37" i="11"/>
  <c r="D38" i="11" s="1"/>
  <c r="D39" i="11" s="1"/>
  <c r="C34" i="11"/>
  <c r="C35" i="11" s="1"/>
  <c r="C36" i="11" s="1"/>
  <c r="C37" i="11"/>
  <c r="C38" i="11" s="1"/>
  <c r="C39" i="11" s="1"/>
  <c r="E44" i="8"/>
  <c r="B46" i="8"/>
  <c r="E46" i="8" s="1"/>
  <c r="B51" i="8"/>
  <c r="E38" i="8"/>
  <c r="B40" i="8"/>
  <c r="E40" i="8" s="1"/>
  <c r="B60" i="8" s="1"/>
  <c r="B61" i="8" s="1"/>
  <c r="B37" i="11"/>
  <c r="B38" i="11" s="1"/>
  <c r="B53" i="8" l="1"/>
  <c r="B55" i="8" s="1"/>
  <c r="B56" i="8" s="1"/>
  <c r="B70" i="8"/>
  <c r="C70" i="8"/>
  <c r="D70" i="8"/>
  <c r="E70" i="8"/>
  <c r="B71" i="8"/>
  <c r="C71" i="8"/>
  <c r="D71" i="8"/>
  <c r="E71" i="8"/>
  <c r="B72" i="8"/>
  <c r="C72" i="8"/>
  <c r="D72" i="8"/>
  <c r="E72" i="8"/>
  <c r="B73" i="8"/>
  <c r="C73" i="8"/>
  <c r="D73" i="8"/>
  <c r="E73" i="8"/>
  <c r="B74" i="8"/>
  <c r="C74" i="8"/>
  <c r="D74" i="8"/>
  <c r="E74" i="8"/>
  <c r="B62" i="11"/>
  <c r="B39" i="11"/>
  <c r="B74" i="11" l="1"/>
  <c r="B76" i="11"/>
  <c r="B66" i="11"/>
  <c r="B64" i="11"/>
  <c r="B65" i="11" s="1"/>
  <c r="B55" i="11" l="1"/>
  <c r="B75" i="11"/>
</calcChain>
</file>

<file path=xl/sharedStrings.xml><?xml version="1.0" encoding="utf-8"?>
<sst xmlns="http://schemas.openxmlformats.org/spreadsheetml/2006/main" count="2429" uniqueCount="1410">
  <si>
    <t>5U AI - Competitor Analysis</t>
  </si>
  <si>
    <t>Compiled 30 July 2026</t>
  </si>
  <si>
    <t>SCOPE</t>
  </si>
  <si>
    <t>26 companies across the EU, UK and US, plus Israel and Australia where a vendor materially sells into those markets. Selection covers four archetypes: agentic AI workers (direct), US freight-brokerage AI agents (same technology, adjacent buyer), point solutions (documents, quoting, visibility), and incumbents that shape the buying decision.</t>
  </si>
  <si>
    <t>METHOD</t>
  </si>
  <si>
    <t>Desk research on 30 July 2026: vendor websites and legal documents, published pricing pages, funding announcements and trade press, plus vendor job specifications, which repeatedly disclosed more about traction and delivery model than the marketing pages did.</t>
  </si>
  <si>
    <t>HOW TO READ</t>
  </si>
  <si>
    <t>'Competitor master' profiles every company. 'Feature matrix' scores product coverage. 'Pricing' is the commercial picture. 'GTM and ICP' covers how each competitor sells and to whom. 'Vs 5U AI' is the head-to-head read with a threat level. 'Horizontal platforms' covers the build-it-ourselves objection (Copilot Studio, n8n, UiPath, DIY). 'Pricing benchmarks' holds reference data. 'Pricing recommendation' proposes a rate card with a live ROI model. 'Market sizing' sizes TAM, SAM and SOM two ways. 'Whitespace' maps the seven uncovered spaces. 'Unit economics' tests the rate card from the seller's side. Every claim traces to 'Sources'.</t>
  </si>
  <si>
    <t>CONFIDENCE</t>
  </si>
  <si>
    <t>Cells reading 'Unknown' or 'Not disclosed' mean exactly that - no public source was found. They are not zeros and should not be read as gaps in the competitor's product. Feature scores for private companies are inferred from vendor marketing and press coverage, so treat them as directional.</t>
  </si>
  <si>
    <t>HEADLINE FINDINGS</t>
  </si>
  <si>
    <t>1. Pricing opacity is near-total</t>
  </si>
  <si>
    <t>Only 2 of 26 vendors publish list prices: Quotiss (from US$69/user/month) and Freightos Terminal (US$119-239/month). Every agentic AI vendor - without exception - is sales-led and bespoke. 5U AI is following category norms, not hiding something unusual.</t>
  </si>
  <si>
    <t>2. The pricing model is shifting under the category</t>
  </si>
  <si>
    <t>HappyRobot prices per action, Expedock explicitly refuses per-document fees, and the wider AI-agent market moved to hybrid base-plus-usage (41% adoption) while per-seat fell from 21% to 15% in a year. 5U AI's bespoke annual Order Form with a 2-year lock-in is the most old-fashioned commercial structure in the peer set.</t>
  </si>
  <si>
    <t>3. The dangerous competitor is Nexcade, not the US giants</t>
  </si>
  <si>
    <t>London-based, same product thesis, same buyer, announced US$6m three weeks before 5U AI's round, and already lists XPO and Zencargo. Its founder was COO of Sedna, so distribution into forwarding is not a cold start.</t>
  </si>
  <si>
    <t>4. Cargofy is an order of magnitude ahead commercially</t>
  </si>
  <si>
    <t>US$10m+ ARR and 2,000 paying customers against 5U AI's sub-EUR 1m. Different primary buyer today (carriers and dispatch rather than forwarders), which is the main thing keeping them apart.</t>
  </si>
  <si>
    <t>5. Capital is not the constraint - focus is</t>
  </si>
  <si>
    <t>US$62m (HappyRobot), US$85m (Augment) and US$47.7m (Raft) dwarf 5U AI's US$3.2m. None of them currently sell EU forwarding as their core motion. That gap is 5U AI's entire opportunity, and it is time-limited.</t>
  </si>
  <si>
    <t>6. The real price anchor is not another AI vendor</t>
  </si>
  <si>
    <t>It is Quotiss at US$69/user/month and CargoWise bundling a rate module into an existing licence. A forwarder who has seen those numbers will need a very concrete ROI story to sign a five-figure two-year commitment.</t>
  </si>
  <si>
    <t>COVERAGE BY REGION</t>
  </si>
  <si>
    <t>EU</t>
  </si>
  <si>
    <t>UK</t>
  </si>
  <si>
    <t>US</t>
  </si>
  <si>
    <t>Other / global</t>
  </si>
  <si>
    <t>Total profiled</t>
  </si>
  <si>
    <t>Competitor master</t>
  </si>
  <si>
    <t>5U AI highlighted. 'n/a' = not disclosed publicly.</t>
  </si>
  <si>
    <t>Company</t>
  </si>
  <si>
    <t>HQ</t>
  </si>
  <si>
    <t>Country</t>
  </si>
  <si>
    <t>Region</t>
  </si>
  <si>
    <t>Founded</t>
  </si>
  <si>
    <t>Stage</t>
  </si>
  <si>
    <t>Total raised (US$m)</t>
  </si>
  <si>
    <t>Last / largest round</t>
  </si>
  <si>
    <t>Key investors</t>
  </si>
  <si>
    <t>Archetype</t>
  </si>
  <si>
    <t>Primary buyer</t>
  </si>
  <si>
    <t>Modes</t>
  </si>
  <si>
    <t>Core product</t>
  </si>
  <si>
    <t>Key differentiator</t>
  </si>
  <si>
    <t>Headcount</t>
  </si>
  <si>
    <t>Named customers</t>
  </si>
  <si>
    <t>Traction signals</t>
  </si>
  <si>
    <t>Website</t>
  </si>
  <si>
    <t>5U AI</t>
  </si>
  <si>
    <t>Munich (entity: Rotterdam)</t>
  </si>
  <si>
    <t>Germany / Netherlands</t>
  </si>
  <si>
    <t>2025</t>
  </si>
  <si>
    <t>Pre-seed</t>
  </si>
  <si>
    <t>3.2</t>
  </si>
  <si>
    <t>US$3.2m pre-seed, 28 Jul 2026, led by Emerge Capital</t>
  </si>
  <si>
    <t>Emerge Capital (lead), Inari, angels incl. ex-DHL / GEODIS / DSV / Maersk / CEVA operators</t>
  </si>
  <si>
    <t>Agentic AI workers</t>
  </si>
  <si>
    <t>Mid-sized freight forwarders, 100-500 employees</t>
  </si>
  <si>
    <t>Air, Ocean, Road</t>
  </si>
  <si>
    <t>Configurable AI Workers living in email, chat and TMS; SOP-driven, human-in-the-loop, executed end to end</t>
  </si>
  <si>
    <t>Context / Decision Layer: records the reasoning behind every operational decision, not just the action</t>
  </si>
  <si>
    <t>7 (+7 open roles)</t>
  </si>
  <si>
    <t>TCI International Logistics</t>
  </si>
  <si>
    <t>Paying customers in DE, AT and Benelux that renew and expand; scaling toward EUR MM ARR (implies &lt;EUR 1m today); zero marketing spend</t>
  </si>
  <si>
    <t>5u.ai</t>
  </si>
  <si>
    <t>Nexcade</t>
  </si>
  <si>
    <t>London</t>
  </si>
  <si>
    <t>United Kingdom</t>
  </si>
  <si>
    <t>Seed</t>
  </si>
  <si>
    <t>8.5</t>
  </si>
  <si>
    <t>US$6m seed, 8 Jul 2026, led by Project A Ventures (US$2.5m pre-seed prior)</t>
  </si>
  <si>
    <t>Project A Ventures (lead), Connect Ventures, MMC Ventures, Entropy Industrial Capital; angels from Vanguard Logistics, n8n, Altana, Sedna, UiPath, Cleo</t>
  </si>
  <si>
    <t>Freight forwarders</t>
  </si>
  <si>
    <t>Job-specific AI agents that read customer emails, attachments and spreadsheets to prepare quotations, procure rates and enter shipment orders</t>
  </si>
  <si>
    <t>Agents scoped to a single forwarding job and tuned per customer; final decisions deliberately left with human operators</t>
  </si>
  <si>
    <t>n/a</t>
  </si>
  <si>
    <t>XPO, Zencargo, Cardinal Global Logistics, CargoTrans</t>
  </si>
  <si>
    <t>Named enterprise logos at seed stage; founded by ex-Sedna COO Dan Bailey and ex-Palantir tech lead Tasho Kjosev</t>
  </si>
  <si>
    <t>nexcade.ai</t>
  </si>
  <si>
    <t>Cargofy</t>
  </si>
  <si>
    <t>Kyiv / pan-EU + US</t>
  </si>
  <si>
    <t>Ukraine</t>
  </si>
  <si>
    <t>Series A</t>
  </si>
  <si>
    <t>11.0</t>
  </si>
  <si>
    <t>US$11m Series A, Jun 2026 (US$6m primary + US$5m secondary), ~EUR 9.6m</t>
  </si>
  <si>
    <t>u.ventures, Toloka, Movens Capital (co-leads); angel Des Traynor (Intercom co-founder)</t>
  </si>
  <si>
    <t>Carriers, brokers, dispatch teams, freight ops</t>
  </si>
  <si>
    <t>Road-heavy, multi-modal</t>
  </si>
  <si>
    <t>AI digital workers that mirror human freight staff workflows; connects to 70+ existing tools incl. TMS, ERP, load boards, carrier compliance</t>
  </si>
  <si>
    <t>Scale and integration breadth; the revenue leader among AI-worker startups in this category</t>
  </si>
  <si>
    <t>Not disclosed publicly (315-truck fleet deployment cited)</t>
  </si>
  <si>
    <t>US$10m+ ARR and 2,000 paying customers across Europe, US and Caspian; one 315-truck deployment saving ~EUR 72,400/month</t>
  </si>
  <si>
    <t>cargofy.com</t>
  </si>
  <si>
    <t>Raft (fka Vector.ai)</t>
  </si>
  <si>
    <t>2017</t>
  </si>
  <si>
    <t>Series B</t>
  </si>
  <si>
    <t>47.7</t>
  </si>
  <si>
    <t>US$30m Series B, Jul 2023, led by Eight Roads</t>
  </si>
  <si>
    <t>Eight Roads (lead), Bessemer Venture Partners, Episode 1, Dynamo Ventures, Moguntia Capital</t>
  </si>
  <si>
    <t>AI automation platform</t>
  </si>
  <si>
    <t>Mid and large forwarders, customs brokers</t>
  </si>
  <si>
    <t>Document automation, email triage and invoice processing across the forwarding lifecycle</t>
  </si>
  <si>
    <t>Scale and enterprise credibility; documented deep CargoWise integration</t>
  </si>
  <si>
    <t>95+ (UK, India, US)</t>
  </si>
  <si>
    <t>EMO Trans, OIA Global, The Scarbrough Group, NNR Global Logistics, Navia Freight</t>
  </si>
  <si>
    <t>60+ customers across 30+ countries; ~300,000 shipments/month; used by 40% of Armstrong &amp; Associates' top-25 global forwarders</t>
  </si>
  <si>
    <t>raft.ai</t>
  </si>
  <si>
    <t>Reform (ReformHQ)</t>
  </si>
  <si>
    <t>United States</t>
  </si>
  <si>
    <t>Not disclosed</t>
  </si>
  <si>
    <t>Freight forwarders and logistics providers</t>
  </si>
  <si>
    <t>Multi-modal</t>
  </si>
  <si>
    <t>AI-first automation from quote to cash; connects documents and data across systems with human-in-the-loop exception handling</t>
  </si>
  <si>
    <t>Quote-to-cash breadth including AP/finance depth</t>
  </si>
  <si>
    <t>Not disclosed publicly</t>
  </si>
  <si>
    <t>Claims 20m+ tasks automated, 250,000 hours saved, US$500m+ AP invoices processed</t>
  </si>
  <si>
    <t>reformhq.com</t>
  </si>
  <si>
    <t>Levity</t>
  </si>
  <si>
    <t>Berlin</t>
  </si>
  <si>
    <t>Germany</t>
  </si>
  <si>
    <t>2020</t>
  </si>
  <si>
    <t>Seed / Series A</t>
  </si>
  <si>
    <t>Not disclosed recently; pre-seed led by Angular Ventures</t>
  </si>
  <si>
    <t>Angular Ventures and others</t>
  </si>
  <si>
    <t>Email AI / no-code automation</t>
  </si>
  <si>
    <t>Forwarders and logistics SMBs</t>
  </si>
  <si>
    <t>Connects to the inbox, categorises incoming email, extracts the key fields and pushes them into the TMS</t>
  </si>
  <si>
    <t>No-code, email-first, low-friction entry point; pivoted from generic no-code AI into logistics</t>
  </si>
  <si>
    <t>~25</t>
  </si>
  <si>
    <t>Shine Logistics Group, Ultraship</t>
  </si>
  <si>
    <t>Established logistics email-automation player; smallest deployment footprint of the EU cohort</t>
  </si>
  <si>
    <t>levity.ai</t>
  </si>
  <si>
    <t>Willidrop</t>
  </si>
  <si>
    <t>Munich</t>
  </si>
  <si>
    <t>2026 (launch)</t>
  </si>
  <si>
    <t>Pre-seed (undisclosed)</t>
  </si>
  <si>
    <t>Undisclosed round announced on launch, 2026</t>
  </si>
  <si>
    <t>Agentic AI workers (vertical)</t>
  </si>
  <si>
    <t>Vehicle / finished-car logistics operators</t>
  </si>
  <si>
    <t>Road (vehicle transport)</t>
  </si>
  <si>
    <t>Agent-based operating system for vehicle logistics, replacing email, phone and spreadsheet coordination of transport orders</t>
  </si>
  <si>
    <t>Deep vertical focus on finished-vehicle logistics rather than general forwarding</t>
  </si>
  <si>
    <t>Just emerged from stealth; same city and same thesis as 5U AI but a different vertical</t>
  </si>
  <si>
    <t>willidrop.com</t>
  </si>
  <si>
    <t>HappyRobot</t>
  </si>
  <si>
    <t>San Francisco</t>
  </si>
  <si>
    <t>2022</t>
  </si>
  <si>
    <t>62.0</t>
  </si>
  <si>
    <t>US$44m Series B, Sep 2025, led by Base10 Partners at ~US$500m valuation</t>
  </si>
  <si>
    <t>Base10 Partners (lead), Andreessen Horowitz, Y Combinator, Tokio Marine, WaVe-X, World Innovation Lab</t>
  </si>
  <si>
    <t>Brokers, 3PLs, carriers, and increasingly forwarders</t>
  </si>
  <si>
    <t>Road-heavy</t>
  </si>
  <si>
    <t>AI-native operating system for building custom AI workers that handle routine communication and operational tasks</t>
  </si>
  <si>
    <t>Best-funded pure-play in the category; voice depth; transparent per-action pricing model</t>
  </si>
  <si>
    <t>~US$62m raised since 2022; the reference point every US rival compares itself against</t>
  </si>
  <si>
    <t>happyrobot.ai</t>
  </si>
  <si>
    <t>Augment</t>
  </si>
  <si>
    <t>2024</t>
  </si>
  <si>
    <t>85.0</t>
  </si>
  <si>
    <t>US$85m Series A, Sep 2025, led by Redpoint</t>
  </si>
  <si>
    <t>Redpoint (lead), 8VC, Autotech Ventures</t>
  </si>
  <si>
    <t>Shippers, brokers and carriers</t>
  </si>
  <si>
    <t>'Augie', an AI teammate performing seven logistics task types: quoting, dispatch, tracking, load building, billing, collections and comms</t>
  </si>
  <si>
    <t>Founder pedigree (Deliverr co-founder Harish Abbott) and the largest Series A in the category</t>
  </si>
  <si>
    <t>Armstrong Transport Group</t>
  </si>
  <si>
    <t>Supports US$35bn+ of freight under management; Armstrong reported ~40% reduction in invoice delays</t>
  </si>
  <si>
    <t>augment.co</t>
  </si>
  <si>
    <t>Vooma</t>
  </si>
  <si>
    <t>2023 (YC W23)</t>
  </si>
  <si>
    <t>16.6</t>
  </si>
  <si>
    <t>US$13m Series A, Dec 2024, led by Craft Ventures (US$3.6m seed led by Index)</t>
  </si>
  <si>
    <t>Craft Ventures (lead), Index Ventures, Y Combinator</t>
  </si>
  <si>
    <t>Freight brokers and 3PLs</t>
  </si>
  <si>
    <t>Road</t>
  </si>
  <si>
    <t>AI agents for quoting, order entry, carrier communications, rate negotiation and appointment scheduling; Vooma Voice for telephony</t>
  </si>
  <si>
    <t>Aggressive competitive positioning - publishes head-to-head comparison pages against eight named rivals</t>
  </si>
  <si>
    <t>Claims 93%+ automation of order entry</t>
  </si>
  <si>
    <t>vooma.com</t>
  </si>
  <si>
    <t>FleetWorks</t>
  </si>
  <si>
    <t>17.5</t>
  </si>
  <si>
    <t>US$17m round led by First Round Capital</t>
  </si>
  <si>
    <t>First Round Capital (lead), Y Combinator, LFX Venture Partners, Saga Ventures</t>
  </si>
  <si>
    <t>Voice AI agents</t>
  </si>
  <si>
    <t>Freight brokerages, especially smaller ones</t>
  </si>
  <si>
    <t>AI carrier representatives and dispatchers that handle 100% of inbound calls and source carriers</t>
  </si>
  <si>
    <t>Voice-first; 24/7 phone coverage for brokers without night staff</t>
  </si>
  <si>
    <t>fleetworks.ai</t>
  </si>
  <si>
    <t>Drumkit</t>
  </si>
  <si>
    <t>2023 (YC)</t>
  </si>
  <si>
    <t>2.6</t>
  </si>
  <si>
    <t>US$2.56m seed</t>
  </si>
  <si>
    <t>Y Combinator, One Way VC</t>
  </si>
  <si>
    <t>Email AI copilot</t>
  </si>
  <si>
    <t>Freight brokers and forwarders</t>
  </si>
  <si>
    <t>Plugs into the inbox and TMS to automate data entry, scheduling and track &amp; trace</t>
  </si>
  <si>
    <t>Lightweight, email-native, fast to adopt; closest US analogue to Levity</t>
  </si>
  <si>
    <t>Claims 30-40% capacity increase for brokers</t>
  </si>
  <si>
    <t>drumkit.ai</t>
  </si>
  <si>
    <t>CloneOps.ai</t>
  </si>
  <si>
    <t>Seed round (amount not disclosed)</t>
  </si>
  <si>
    <t>Voice / comms AI</t>
  </si>
  <si>
    <t>Brokers and 3PLs</t>
  </si>
  <si>
    <t>AI-driven business communications automating routine calls and messages</t>
  </si>
  <si>
    <t>Communications specialisation; partnered with Chain to automate track-and-trace and booking</t>
  </si>
  <si>
    <t>cloneops.ai</t>
  </si>
  <si>
    <t>Lanesurf</t>
  </si>
  <si>
    <t>Early</t>
  </si>
  <si>
    <t>Freight brokers</t>
  </si>
  <si>
    <t>Fleet of AI agents that find nearby empty trucks, call and email them in parallel, negotiate rates and book</t>
  </si>
  <si>
    <t>Self-improving voice stack built for noisy calls and constant exceptions</t>
  </si>
  <si>
    <t>lanesurf.ai</t>
  </si>
  <si>
    <t>Parade</t>
  </si>
  <si>
    <t>2018</t>
  </si>
  <si>
    <t>Capacity management</t>
  </si>
  <si>
    <t>Carrier sourcing, capacity intelligence and workflow automation</t>
  </si>
  <si>
    <t>Incumbent in carrier capacity matching; predates the agentic wave</t>
  </si>
  <si>
    <t>parade.ai</t>
  </si>
  <si>
    <t>Chain</t>
  </si>
  <si>
    <t>Fort Lauderdale / San Francisco</t>
  </si>
  <si>
    <t>Visibility platform</t>
  </si>
  <si>
    <t>AI-powered freight visibility with tracking and voice communications</t>
  </si>
  <si>
    <t>Visibility-first; partners rather than competes on comms (CloneOps partnership)</t>
  </si>
  <si>
    <t>Note: distinct from Chain.io, the freight integration platform - verify before citing</t>
  </si>
  <si>
    <t>Expedock</t>
  </si>
  <si>
    <t>2019</t>
  </si>
  <si>
    <t>18.0</t>
  </si>
  <si>
    <t>US$13.5m Series A, 2022, led by Insight Partners</t>
  </si>
  <si>
    <t>Insight Partners (lead)</t>
  </si>
  <si>
    <t>Document AI</t>
  </si>
  <si>
    <t>Forwarders and customs brokers</t>
  </si>
  <si>
    <t>Air, Ocean</t>
  </si>
  <si>
    <t>Converts paper and PDF documents into structured data and pushes it into existing forwarder tools</t>
  </si>
  <si>
    <t>90%+ extraction accuracy, deployment under 30 days, and explicitly no per-document fees</t>
  </si>
  <si>
    <t>Wayfair, ClearFreight, JUSDA, Ascent (Roadrunner Freight)</t>
  </si>
  <si>
    <t>Serves customers processing 10,000+ documents per month</t>
  </si>
  <si>
    <t>expedock.com</t>
  </si>
  <si>
    <t>Shipamax</t>
  </si>
  <si>
    <t>2016</t>
  </si>
  <si>
    <t>Forwarders and shipping companies</t>
  </si>
  <si>
    <t>Ocean, Air</t>
  </si>
  <si>
    <t>Parses email attachments through an ingestion-to-extraction pipeline for freight documents</t>
  </si>
  <si>
    <t>Deep integration with Sedna; claims 85% reduction in email volume</t>
  </si>
  <si>
    <t>shipamax.com</t>
  </si>
  <si>
    <t>Wisor</t>
  </si>
  <si>
    <t>Tel Aviv</t>
  </si>
  <si>
    <t>Israel</t>
  </si>
  <si>
    <t>Other (sells EU/US)</t>
  </si>
  <si>
    <t>2021</t>
  </si>
  <si>
    <t>8.0</t>
  </si>
  <si>
    <t>US$8m seed, Feb 2023, led by Team8</t>
  </si>
  <si>
    <t>Team8 (lead), Ocean Azul, Hico Investment Group, fresh.fund, Atooro Fund, The Dock, Seed IL Ventures, Izaki Ventures</t>
  </si>
  <si>
    <t>Quote automation</t>
  </si>
  <si>
    <t>Air forwarders processing 500+ RFQs/month</t>
  </si>
  <si>
    <t>Air (primarily)</t>
  </si>
  <si>
    <t>Automated RFQ-to-quote workflow with live carrier rate connections (e.g. Lufthansa Cargo, Emirates SkyCargo)</t>
  </si>
  <si>
    <t>Sub-5-minute quote responses; pre-built air carrier rate integrations</t>
  </si>
  <si>
    <t>Weakness noted by analysts: template-driven pricing logic struggles with customer-specific margin exceptions</t>
  </si>
  <si>
    <t>wisor.ai</t>
  </si>
  <si>
    <t>Sedna</t>
  </si>
  <si>
    <t>Growth</t>
  </si>
  <si>
    <t>Communication platform</t>
  </si>
  <si>
    <t>Shipping, maritime and global trade</t>
  </si>
  <si>
    <t>Ocean-heavy</t>
  </si>
  <si>
    <t>Unified email and communication platform for trade, with AI features layered on</t>
  </si>
  <si>
    <t>Incumbent position in maritime email; largest headcount in the comparison set</t>
  </si>
  <si>
    <t>~177 (4 continents)</t>
  </si>
  <si>
    <t>Ardmore Shipping, NORDEN, Bunge, Starling Bank</t>
  </si>
  <si>
    <t>Launched a unified platform in 2026; Nexcade's founder is Sedna's former COO</t>
  </si>
  <si>
    <t>sedna.com</t>
  </si>
  <si>
    <t>Freightos / WebCargo</t>
  </si>
  <si>
    <t>Jerusalem / global</t>
  </si>
  <si>
    <t>Other (global)</t>
  </si>
  <si>
    <t>2012</t>
  </si>
  <si>
    <t>Public (NASDAQ: CRGO)</t>
  </si>
  <si>
    <t>IPO 2023</t>
  </si>
  <si>
    <t>Public markets</t>
  </si>
  <si>
    <t>Marketplace + rate data</t>
  </si>
  <si>
    <t>Forwarders, shippers, carriers</t>
  </si>
  <si>
    <t>Digital freight marketplace, WebCargo booking rails, and Terminal rate benchmarking data</t>
  </si>
  <si>
    <t>Largest digital freight marketplace with rates from 5,000+ forwarders; publishes list pricing</t>
  </si>
  <si>
    <t>Thousands of forwarders</t>
  </si>
  <si>
    <t>Rate source and booking rails rather than an ops-automation layer</t>
  </si>
  <si>
    <t>freightos.com</t>
  </si>
  <si>
    <t>Quotiss</t>
  </si>
  <si>
    <t>Poland</t>
  </si>
  <si>
    <t>Small / bootstrapped</t>
  </si>
  <si>
    <t>Rate management SaaS</t>
  </si>
  <si>
    <t>Forwarder sales teams, small to large</t>
  </si>
  <si>
    <t>Ocean</t>
  </si>
  <si>
    <t>Tariff uploader, rates and charges database, quoting tool, client database, sales analytics</t>
  </si>
  <si>
    <t>The only vendor in this set with fully public, self-serve per-user pricing</t>
  </si>
  <si>
    <t>quotiss.com</t>
  </si>
  <si>
    <t>Cargofive</t>
  </si>
  <si>
    <t>Barcelona</t>
  </si>
  <si>
    <t>Spain</t>
  </si>
  <si>
    <t>Acquired (Mar 2026)</t>
  </si>
  <si>
    <t>Acquired by cargo.one, March 2026</t>
  </si>
  <si>
    <t>Rate management and quoting for forwarders</t>
  </si>
  <si>
    <t>No longer independent. Its ocean rate data now sits inside cargo.one's AI-native multimodal operating system.</t>
  </si>
  <si>
    <t>CORRECTION 30 Jul 2026: acquired by cargo.one alongside that company's AI-OS launch and US$20m raise from Bessemer.</t>
  </si>
  <si>
    <t>cargofive.com</t>
  </si>
  <si>
    <t>Digicust</t>
  </si>
  <si>
    <t>Austria</t>
  </si>
  <si>
    <t>2.5</t>
  </si>
  <si>
    <t>EUR 2.3m, Dec 2025</t>
  </si>
  <si>
    <t>Customs AI</t>
  </si>
  <si>
    <t>Customs brokers and forwarders</t>
  </si>
  <si>
    <t>AI automation of customs clearance and declarations across Europe</t>
  </si>
  <si>
    <t>Customs vertical with the EU Customs Reform 2026 as a structural tailwind</t>
  </si>
  <si>
    <t>Occupies the one major workflow 5U AI does not currently cover</t>
  </si>
  <si>
    <t>digicust.com</t>
  </si>
  <si>
    <t>CargoWise (WiseTech Global)</t>
  </si>
  <si>
    <t>Sydney</t>
  </si>
  <si>
    <t>Australia</t>
  </si>
  <si>
    <t>1994</t>
  </si>
  <si>
    <t>Public (ASX: WTC)</t>
  </si>
  <si>
    <t>TMS incumbent</t>
  </si>
  <si>
    <t>Forwarders globally</t>
  </si>
  <si>
    <t>All modes</t>
  </si>
  <si>
    <t>The dominant forwarder TMS and system of record, with a native rate module and expanding AI features</t>
  </si>
  <si>
    <t>Owns the system of record; can bundle AI features into an existing licence</t>
  </si>
  <si>
    <t>Thousands</t>
  </si>
  <si>
    <t>Most large global forwarders</t>
  </si>
  <si>
    <t>Simultaneously 5U AI's most important integration and its largest platform risk</t>
  </si>
  <si>
    <t>cargowise.com</t>
  </si>
  <si>
    <t>project44 / FourKites</t>
  </si>
  <si>
    <t>Chicago</t>
  </si>
  <si>
    <t>2014</t>
  </si>
  <si>
    <t>Late stage</t>
  </si>
  <si>
    <t>600+ (p44)</t>
  </si>
  <si>
    <t>Multiple late-stage rounds</t>
  </si>
  <si>
    <t>Insight, Goldman Sachs, Emergence and others</t>
  </si>
  <si>
    <t>Visibility incumbent</t>
  </si>
  <si>
    <t>Shippers, 3PLs, carriers</t>
  </si>
  <si>
    <t>Multimodal real-time visibility across 1,200+ carriers with sub-hour ETA refresh</t>
  </si>
  <si>
    <t>Data network effects on tracking; overlaps 5U AI only on the Track &amp; Trace use case</t>
  </si>
  <si>
    <t>1,000+</t>
  </si>
  <si>
    <t>Global shippers and 3PLs</t>
  </si>
  <si>
    <t>The incumbent answer to 'why not just buy visibility software?'</t>
  </si>
  <si>
    <t>project44.com</t>
  </si>
  <si>
    <t>cargo.one</t>
  </si>
  <si>
    <t>US$20m (EUR 17m), Mar 2026, from Bessemer Venture Partners and other technology investors</t>
  </si>
  <si>
    <t>Bessemer Venture Partners and other technology investors</t>
  </si>
  <si>
    <t>Marketplace + AI-native OS</t>
  </si>
  <si>
    <t>Freight forwarders of all sizes; airlines and ocean carriers</t>
  </si>
  <si>
    <t>AI-native operating system for multimodal freight - booking, rate management and sales automation in one platform</t>
  </si>
  <si>
    <t>Owns distribution: 28,000 forwarders already transact on the platform, so AI workflows reach them natively rather than being bolted onto separate systems</t>
  </si>
  <si>
    <t>American Airlines Cargo; 28,000 forwarders on platform</t>
  </si>
  <si>
    <t>Acquired Cargofive (ocean rates) in Mar 2026 and launched an AI-native multimodal OS</t>
  </si>
  <si>
    <t>Feature matrix</t>
  </si>
  <si>
    <t>Yes / Partial / No / Unknown. Coverage score = Yes counts 1, Partial counts 0.5, Unknown counts 0. Inferred from vendor marketing and press - directional, not a product audit.</t>
  </si>
  <si>
    <t>Email intake &amp; agent</t>
  </si>
  <si>
    <t>Voice / telephony agent</t>
  </si>
  <si>
    <t>Chat &amp; messaging (Teams/Slack/WhatsApp)</t>
  </si>
  <si>
    <t>Quoting &amp; rate management</t>
  </si>
  <si>
    <t>Track &amp; trace</t>
  </si>
  <si>
    <t>Document extraction</t>
  </si>
  <si>
    <t>Invoice reconciliation / AP</t>
  </si>
  <si>
    <t>Customs &amp; compliance</t>
  </si>
  <si>
    <t>Booking &amp; order entry</t>
  </si>
  <si>
    <t>Carrier portal automation</t>
  </si>
  <si>
    <t>TMS integration</t>
  </si>
  <si>
    <t>ERP / EDI / SFTP</t>
  </si>
  <si>
    <t>Human-in-the-loop approval</t>
  </si>
  <si>
    <t>Decision / audit log</t>
  </si>
  <si>
    <t>SOP-based configuration</t>
  </si>
  <si>
    <t>Multilingual</t>
  </si>
  <si>
    <t>Pre-deployment training on history</t>
  </si>
  <si>
    <t>Self-serve sign-up</t>
  </si>
  <si>
    <t>Coverage score (of 18)</t>
  </si>
  <si>
    <t>Yes</t>
  </si>
  <si>
    <t>No</t>
  </si>
  <si>
    <t>Unknown</t>
  </si>
  <si>
    <t>Partial</t>
  </si>
  <si>
    <t>CargoWise (WiseTech)</t>
  </si>
  <si>
    <t>Legend</t>
  </si>
  <si>
    <t>Note: 'Unknown' means no public source was found, not an absent feature.</t>
  </si>
  <si>
    <t>Pricing</t>
  </si>
  <si>
    <t>Only 2 of 26 vendors publish list prices. Everything else is sales-led. 'Confidence' separates confidence in the MODEL from confidence in the PRICE.</t>
  </si>
  <si>
    <t>Pricing published?</t>
  </si>
  <si>
    <t>Pricing model</t>
  </si>
  <si>
    <t>Billing unit</t>
  </si>
  <si>
    <t>Entry price</t>
  </si>
  <si>
    <t>Known price points</t>
  </si>
  <si>
    <t>Contract term</t>
  </si>
  <si>
    <t>Trial / pilot</t>
  </si>
  <si>
    <t>Confidence</t>
  </si>
  <si>
    <t>Basis</t>
  </si>
  <si>
    <t>No - no pricing page exists</t>
  </si>
  <si>
    <t>Bespoke package per use case, agreed in an Order Form</t>
  </si>
  <si>
    <t>Not defined in the T&amp;Cs; per-Worker strongly implied</t>
  </si>
  <si>
    <t>Not published</t>
  </si>
  <si>
    <t>None published. Inferred low tens of thousands of EUR ACV from the EUR 50,000 liability ceiling</t>
  </si>
  <si>
    <t>2-year initial term, auto-renews up to 1 year, 3 months' notice, no termination for convenience</t>
  </si>
  <si>
    <t>Yes - trial phase per Order Form, 'As Is', no binding KPIs, either party may opt out</t>
  </si>
  <si>
    <t>Terms: High / Price: Low</t>
  </si>
  <si>
    <t>5u.ai T&amp;Cs cl. 3, 8, 14, 15; Founding Ops job spec ('pause, reduce, or stop a Worker')</t>
  </si>
  <si>
    <t>Enterprise, bespoke</t>
  </si>
  <si>
    <t>None published</t>
  </si>
  <si>
    <t>Low</t>
  </si>
  <si>
    <t>No public pricing found</t>
  </si>
  <si>
    <t>Subscription</t>
  </si>
  <si>
    <t>Derived: ~US$5,000 average ARR per customer (US$10m ARR / 2,000 customers) - see Pricing benchmarks tab</t>
  </si>
  <si>
    <t>Derived: Medium</t>
  </si>
  <si>
    <t>EU-Startups and Vestbee coverage of the Jun 2026 Series A</t>
  </si>
  <si>
    <t>Subscription with custom enterprise pricing</t>
  </si>
  <si>
    <t>Likely platform fee plus volume</t>
  </si>
  <si>
    <t>SaaSworthy lists 'custom plan' only</t>
  </si>
  <si>
    <t>Enterprise</t>
  </si>
  <si>
    <t>YES - published</t>
  </si>
  <si>
    <t>Hybrid: flat base plus per-unit usage</t>
  </si>
  <si>
    <t>Per month plus per processed email</t>
  </si>
  <si>
    <t>US$79/month</t>
  </si>
  <si>
    <t>US$79/month base, plus US$0.05-0.30 per processed email depending on volume and complexity</t>
  </si>
  <si>
    <t>Self-serve</t>
  </si>
  <si>
    <t>High</t>
  </si>
  <si>
    <t>CORRECTION 30 Jul 2026: pricing located via GetApp. Previously recorded as unpublished.</t>
  </si>
  <si>
    <t>No - but the model is public</t>
  </si>
  <si>
    <t>Per-action (outcome-style)</t>
  </si>
  <si>
    <t>Per action: scheduling a load, updating a status, processing a rate confirmation</t>
  </si>
  <si>
    <t>Fixed price per action; you pay only for actions the agent performs. Market benchmarks: US$0.30-1.00 per ticket, US$0.50-2.00 per resolution</t>
  </si>
  <si>
    <t>Model: High / Price: Low</t>
  </si>
  <si>
    <t>HappyRobot pricing hub; 2026 AI-agent pricing surveys</t>
  </si>
  <si>
    <t>Subscription plus usage</t>
  </si>
  <si>
    <t>Likely per-call / usage</t>
  </si>
  <si>
    <t>Likely per seat</t>
  </si>
  <si>
    <t>Flat subscription</t>
  </si>
  <si>
    <t>Predictable subscription, explicitly NOT per document</t>
  </si>
  <si>
    <t>Vendor states 'no per-document fees or hidden costs'</t>
  </si>
  <si>
    <t>Expedock marketing material</t>
  </si>
  <si>
    <t>FreightMynd 2026 comparison</t>
  </si>
  <si>
    <t>Enterprise per-seat</t>
  </si>
  <si>
    <t>Per user</t>
  </si>
  <si>
    <t>Freightos Terminal</t>
  </si>
  <si>
    <t>YES - fully published</t>
  </si>
  <si>
    <t>Subscription tiers</t>
  </si>
  <si>
    <t>Per month, billed annually</t>
  </si>
  <si>
    <t>US$119/month (Individual Starter, Ocean)</t>
  </si>
  <si>
    <t>Ocean US$119/mo; Air US$239/mo; custom enterprise tier above</t>
  </si>
  <si>
    <t>Annual</t>
  </si>
  <si>
    <t>Freightos published pricing, via Capterra 2026</t>
  </si>
  <si>
    <t>Per-user subscription, tiered down by account volume</t>
  </si>
  <si>
    <t>Per user per month</t>
  </si>
  <si>
    <t>US$69/user/month (Pro tier)</t>
  </si>
  <si>
    <t>Starter US$129/user/mo (no minimum); Plus US$99/user/mo (min 20 active accounts); Pro US$69/user/mo (min 50 active accounts); 10% discount for annual prepay</t>
  </si>
  <si>
    <t>Monthly or annual</t>
  </si>
  <si>
    <t>quotiss.com/pricing</t>
  </si>
  <si>
    <t>Subscription / per declaration</t>
  </si>
  <si>
    <t>Licensed per user and module plus transaction fees</t>
  </si>
  <si>
    <t>Per user plus per transaction</t>
  </si>
  <si>
    <t>Rate module is licensed as part of CargoWise; no standalone price</t>
  </si>
  <si>
    <t>Multi-year enterprise</t>
  </si>
  <si>
    <t>Medium</t>
  </si>
  <si>
    <t>GoFreight (TMS benchmark)</t>
  </si>
  <si>
    <t>Per-user subscription, implementation bundled</t>
  </si>
  <si>
    <t>Positions in the mid-market TMS band of US$100-400/user/month</t>
  </si>
  <si>
    <t>GoFreight blog; Capterra</t>
  </si>
  <si>
    <t>Enterprise, volume-based</t>
  </si>
  <si>
    <t>Per shipment / per lane</t>
  </si>
  <si>
    <t>Head-to-head vs 5U AI</t>
  </si>
  <si>
    <t>Threat level is a judgement call based on product overlap, buyer overlap, geography and capital.</t>
  </si>
  <si>
    <t>Overlap with 5U AI</t>
  </si>
  <si>
    <t>Threat level</t>
  </si>
  <si>
    <t>Where they beat 5U AI</t>
  </si>
  <si>
    <t>Where 5U AI beats them</t>
  </si>
  <si>
    <t>What to watch</t>
  </si>
  <si>
    <t>Very high - same product, same buyer, same continent</t>
  </si>
  <si>
    <t>CRITICAL</t>
  </si>
  <si>
    <t>US$8.5m vs US$3.2m raised; enterprise logos (XPO, Zencargo) at seed stage; founder was COO of Sedna, so deep forwarding relationships and distribution</t>
  </si>
  <si>
    <t>5U AI's Decision Layer is a sharper articulated moat; Nexcade explicitly keeps humans in the final decision, so its automation ceiling may be lower; 5U AI has DACH-native, German-speaking delivery</t>
  </si>
  <si>
    <t>Whether Nexcade moves into DACH. Same product thesis announced three weeks before 5U AI's round.</t>
  </si>
  <si>
    <t>High on product, medium on buyer (road/dispatch-heavy)</t>
  </si>
  <si>
    <t>HIGH</t>
  </si>
  <si>
    <t>US$10m+ ARR and 2,000 paying customers - roughly an order of magnitude ahead commercially; 70+ integrations; already in EU and US</t>
  </si>
  <si>
    <t>5U AI targets forwarders rather than carriers/dispatch; deeper air and ocean workflow specificity; DACH enterprise positioning</t>
  </si>
  <si>
    <t>If Cargofy moves up-market from carriers into forwarding, its price point and integration breadth become very hard to beat.</t>
  </si>
  <si>
    <t>High - overlapping workflows, larger customers</t>
  </si>
  <si>
    <t>US$47.7m raised, 60+ customers, 300,000 shipments/month, proven CargoWise integration, customs coverage; the safe enterprise choice</t>
  </si>
  <si>
    <t>Raft is document- and triage-centric rather than a true agentic worker; analysts note quoting is not its core engine; 5U AI is more agent-native and faster to configure</t>
  </si>
  <si>
    <t>Raft adding agentic workers on top of its installed base would be the single biggest competitive event.</t>
  </si>
  <si>
    <t>High on workflow scope (quote to cash)</t>
  </si>
  <si>
    <t>MEDIUM</t>
  </si>
  <si>
    <t>Large claimed automation volumes and AP depth; quote-to-cash breadth</t>
  </si>
  <si>
    <t>5U AI is EU-native with GDPR posture and European hosting; Reform has no visible EU presence</t>
  </si>
  <si>
    <t>US entrants crossing the Atlantic; watch for an EU office or a European logo.</t>
  </si>
  <si>
    <t>Medium - same channel (email), shallower product</t>
  </si>
  <si>
    <t>Established in logistics email automation since before the agentic wave; low-friction, self-serve entry; Berlin-based, so same market</t>
  </si>
  <si>
    <t>Levity classifies and extracts; 5U AI executes end to end with approval, portal automation and voice. Very different automation ceiling</t>
  </si>
  <si>
    <t>Levity repositioning from 'email AI' to 'AI workers' would compress 5U AI's differentiation in DACH.</t>
  </si>
  <si>
    <t>Low - adjacent vertical, same city and thesis</t>
  </si>
  <si>
    <t>LOW</t>
  </si>
  <si>
    <t>Vertical depth in finished-vehicle logistics; Munich talent competition</t>
  </si>
  <si>
    <t>Different buyer entirely; no overlap in air/ocean forwarding</t>
  </si>
  <si>
    <t>Talent and investor attention in Munich rather than customer overlap.</t>
  </si>
  <si>
    <t>High on product, low on buyer today</t>
  </si>
  <si>
    <t>HIGH (strategic)</t>
  </si>
  <si>
    <t>US$62m raised at ~US$500m valuation; voice depth; per-action pricing that buyers find easy to justify; sets the category's pricing norms</t>
  </si>
  <si>
    <t>Road/brokerage-centric; 5U AI owns air and ocean forwarding workflows and EU data residency</t>
  </si>
  <si>
    <t>Any HappyRobot move into European forwarding. Their per-action pricing may also force 5U AI off bespoke annual contracts.</t>
  </si>
  <si>
    <t>Medium-high on product, low on geography</t>
  </si>
  <si>
    <t>US$85m Series A, elite founder pedigree, US$35bn freight under management</t>
  </si>
  <si>
    <t>US-centric shipper/broker focus; 5U AI is EU forwarder-native</t>
  </si>
  <si>
    <t>Redpoint-backed companies expand fast. Watch for a European launch.</t>
  </si>
  <si>
    <t>Medium - same workflows, US brokerage buyer</t>
  </si>
  <si>
    <t>US$16.6m raised; strong quoting and voice; publishes aggressive competitive comparisons</t>
  </si>
  <si>
    <t>No EU presence; brokerage rather than forwarding</t>
  </si>
  <si>
    <t>Their comparison-page playbook is worth copying for 5U AI's own GTM.</t>
  </si>
  <si>
    <t>FleetWorks / Lanesurf / CloneOps</t>
  </si>
  <si>
    <t>Low-medium - voice-only slice</t>
  </si>
  <si>
    <t>Voice AI maturity well ahead of 5U AI's claimed voice channel</t>
  </si>
  <si>
    <t>5U AI covers the full workflow, not just the call</t>
  </si>
  <si>
    <t>If 5U AI markets voice, these set the quality bar buyers will compare against.</t>
  </si>
  <si>
    <t>Medium - email-native, similar shape, much smaller</t>
  </si>
  <si>
    <t>YC network and brand; simple adoption</t>
  </si>
  <si>
    <t>US$2.56m raised and email-only scope; 5U AI is broader and better funded</t>
  </si>
  <si>
    <t>Least threatening of the US cohort.</t>
  </si>
  <si>
    <t>Medium - the document layer inside 5U AI's scope</t>
  </si>
  <si>
    <t>US$18m raised, 90%+ extraction accuracy on standard formats, sub-30-day deployment, large training corpus, no per-document fees</t>
  </si>
  <si>
    <t>Expedock stops at data extraction; 5U AI acts on the data. Incumbent forwarders may buy both</t>
  </si>
  <si>
    <t>Expedock is a likely partner as much as a competitor - and a benchmark for extraction accuracy claims.</t>
  </si>
  <si>
    <t>Medium - document and email layer</t>
  </si>
  <si>
    <t>LOW-MEDIUM</t>
  </si>
  <si>
    <t>Established Sedna integration; strong email-volume reduction claims</t>
  </si>
  <si>
    <t>Narrow scope compared with an end-to-end worker</t>
  </si>
  <si>
    <t>Bundling with Sedna could create an incumbent UK stack.</t>
  </si>
  <si>
    <t>Other (IL)</t>
  </si>
  <si>
    <t>Medium - directly competes on rate management</t>
  </si>
  <si>
    <t>Pre-built air carrier rate connections and sub-5-minute quoting; a specialist in 5U AI's best use case</t>
  </si>
  <si>
    <t>5U AI is multi-modal and multi-workflow; Wisor is air-quoting only, and its template-driven margin logic struggles with exceptions</t>
  </si>
  <si>
    <t>Head-to-head risk in any air-freight RFQ deal.</t>
  </si>
  <si>
    <t>Medium - owns the inbox 5U AI wants to sit in</t>
  </si>
  <si>
    <t>~177 employees, enterprise maritime logos, and control of the communication layer</t>
  </si>
  <si>
    <t>Sedna is a platform for humans to work email faster; 5U AI removes the work entirely</t>
  </si>
  <si>
    <t>Sedna shipping true agents would be a serious threat - and its ex-COO already founded Nexcade.</t>
  </si>
  <si>
    <t>Low-medium - rate source, not ops automation</t>
  </si>
  <si>
    <t>Public company, enormous rate network, published transparent pricing</t>
  </si>
  <si>
    <t>Different layer of the stack; a likely data source rather than a rival</t>
  </si>
  <si>
    <t>Their published pricing anchors what forwarders expect to pay for software.</t>
  </si>
  <si>
    <t>Quotiss / Cargofive</t>
  </si>
  <si>
    <t>Low-medium - cheap rate-management substitute</t>
  </si>
  <si>
    <t>Transparent, very low price points (from US$69/user/month) that make 'good enough' quoting cheap</t>
  </si>
  <si>
    <t>No agentic execution, no email handling, no track &amp; trace</t>
  </si>
  <si>
    <t>PRICE ANCHOR RISK: a forwarder who has seen Quotiss pricing will question a five-figure ACV.</t>
  </si>
  <si>
    <t>Low - customs, the one workflow 5U AI does not cover</t>
  </si>
  <si>
    <t>Owns customs automation with the EU Customs Reform 2026 tailwind</t>
  </si>
  <si>
    <t>Not competing today</t>
  </si>
  <si>
    <t>Partnership candidate, or a gap a rival could use to claim broader coverage.</t>
  </si>
  <si>
    <t>Platform risk rather than direct competition</t>
  </si>
  <si>
    <t>STRUCTURAL</t>
  </si>
  <si>
    <t>Owns the system of record and can bundle native rate and AI modules into an existing licence at near-zero marginal price</t>
  </si>
  <si>
    <t>Notoriously slow to ship modern AI; forwarders complain its rate module still needs manual entry</t>
  </si>
  <si>
    <t>The classic vertical-SaaS platform risk. Every integration deepens both the moat and the dependency.</t>
  </si>
  <si>
    <t>Low - overlaps only on track &amp; trace</t>
  </si>
  <si>
    <t>Data network effects on tracking; the incumbent answer for visibility</t>
  </si>
  <si>
    <t>Visibility only; no quoting, documents, invoicing or communication</t>
  </si>
  <si>
    <t>Used as the 'we already have visibility' objection in deals.</t>
  </si>
  <si>
    <t>Horizontal platforms (Copilot Studio, n8n, UiPath, DIY)</t>
  </si>
  <si>
    <t>All</t>
  </si>
  <si>
    <t>Competes in the sales cycle, not on outcome - the default IT-led objection in every deal</t>
  </si>
  <si>
    <t>HIGH (sales-cycle)</t>
  </si>
  <si>
    <t>Perceived as near-free (Copilot US$200/month credit packs; n8n self-hosted at EUR 0); already owned by the customer's IT; no procurement needed</t>
  </si>
  <si>
    <t>No freight context, no shipment state, no portal resilience, no HITL queue, no audit layer; in-house AI failure base rates of 80-95% (RAND, MIT)</t>
  </si>
  <si>
    <t>See the Horizontal platforms tab for the full analysis and per-platform objection handling.</t>
  </si>
  <si>
    <t>Pricing benchmarks and derived metrics</t>
  </si>
  <si>
    <t>Blue cells are inputs from named sources. Black cells are formulas.</t>
  </si>
  <si>
    <t>Benchmark</t>
  </si>
  <si>
    <t>Source / note</t>
  </si>
  <si>
    <t>AI agent, per seat (per user per month, US$)</t>
  </si>
  <si>
    <t>2026 AI-agent pricing surveys</t>
  </si>
  <si>
    <t>AI agent, per ticket / inbound conversation (US$)</t>
  </si>
  <si>
    <t>AI agent, per resolution, outcome-based (US$)</t>
  </si>
  <si>
    <t>Not billed on escalation; beats per-seat above ~3,000 conversations/month</t>
  </si>
  <si>
    <t>Entry-level TMS (per user per month, US$)</t>
  </si>
  <si>
    <t>GoFreight market commentary, 2026</t>
  </si>
  <si>
    <t>Mid-market TMS (per user per month, US$)</t>
  </si>
  <si>
    <t>Enterprise TMS (per user per month, US$)</t>
  </si>
  <si>
    <t>Quotiss rate management (per user per month, US$)</t>
  </si>
  <si>
    <t>quotiss.com published pricing; Pro tier requires 50+ active accounts</t>
  </si>
  <si>
    <t>Freightos Terminal rate data (per month, US$)</t>
  </si>
  <si>
    <t>Ocean US$119, Air US$239, billed annually</t>
  </si>
  <si>
    <t>DERIVED: Cargofy average revenue per customer</t>
  </si>
  <si>
    <t>Reported ARR (US$)</t>
  </si>
  <si>
    <t>'surpassed $10 million in annual recurring revenue' - EU-Startups, Jun 2026</t>
  </si>
  <si>
    <t>Reported paying customers</t>
  </si>
  <si>
    <t>'2,000 paying customers across Europe, the US and the Caspian region'</t>
  </si>
  <si>
    <t>Average ARR per customer (US$)</t>
  </si>
  <si>
    <t>Blended across a mixed base of carriers, brokers and dispatchers, so it is a floor for enterprise deals rather than a list price. Still the only hard revenue-per-customer figure available for any AI-worker vendor in this set.</t>
  </si>
  <si>
    <t>DERIVED: 5U AI implied contract-value ceiling</t>
  </si>
  <si>
    <t>Absolute liability cap in T&amp;Cs (EUR)</t>
  </si>
  <si>
    <t>5u.ai Terms &amp; Conditions, clause 14.2: greater of EUR 10,000 or 100% of prior-12-month fees, never exceeding EUR 50,000.</t>
  </si>
  <si>
    <t>Inference</t>
  </si>
  <si>
    <t>EUR 10k-50k ACV</t>
  </si>
  <si>
    <t>A vendor does not cap total liability at EUR 50,000 if typical contracts are six figures - buyers' legal teams reject it. Reasoned inference, NOT a disclosed figure.</t>
  </si>
  <si>
    <t>5U AI - Pricing recommendation</t>
  </si>
  <si>
    <t>Derived from the competitor set in this workbook and from 5U AI's own Terms &amp; Conditions. Yellow cells are assumptions you can change - every figure below recalculates.</t>
  </si>
  <si>
    <t>1. THE RECOMMENDATION</t>
  </si>
  <si>
    <t>Recommendation</t>
  </si>
  <si>
    <t>Why</t>
  </si>
  <si>
    <t>Price the AI Worker, never the seat</t>
  </si>
  <si>
    <t>The entire pitch is '10x output at the cost of one employee'. Per-seat pricing means revenue falls as the product succeeds and headcount drops - the buyer notices this before you do. Per-Worker also matches the land-and-expand motion already written into the Founding Ops spec (expand by workflow, team and location).</t>
  </si>
  <si>
    <t>Use a hybrid: platform fee + per-Worker subscription + usage above an included band</t>
  </si>
  <si>
    <t>Hybrid base-plus-usage is now 41% of the AI market and per-seat has fallen to 15%. A pure per-action model (HappyRobot) suits high-volume broker calls, not a mid-market forwarder CFO who needs a predictable number.</t>
  </si>
  <si>
    <t>Anchor on the labour cost released, not on software comparables</t>
  </si>
  <si>
    <t>Anchoring on software loses: Quotiss is US$69/user/month and CargoWise bundles a rate module into an existing licence. Anchoring on a German ops FTE at ~EUR 62k makes a EUR 30k contract look cheap rather than expensive.</t>
  </si>
  <si>
    <t>Ramp the Worker fee against automation rate</t>
  </si>
  <si>
    <t>Charge 50% of the Worker fee until automation rate reaches 60%, then full fee. Automation rate is already the customer-health metric in the Ops job spec, so this aligns price with the number both sides watch - and it removes the biggest objection to a long commitment from an unproven vendor.</t>
  </si>
  <si>
    <t>Sell a paid pilot, not a free trial</t>
  </si>
  <si>
    <t>A priced 3-month pilot credited against year one qualifies the buyer, funds the forward-deployed engineer, and replaces the current 'As Is, no binding KPIs' trial clause that gives away the only leverage you have.</t>
  </si>
  <si>
    <t>2. VALUE ANCHOR - what one AI Worker actually releases</t>
  </si>
  <si>
    <t>Assumption</t>
  </si>
  <si>
    <t>Value</t>
  </si>
  <si>
    <t>Source / rationale</t>
  </si>
  <si>
    <t>Fully loaded annual cost of one ops FTE (EUR)</t>
  </si>
  <si>
    <t>German/DACH mid-market logistics ops salary plus employer costs. Change this per market.</t>
  </si>
  <si>
    <t>Ops FTE-equivalents one Core Worker touches</t>
  </si>
  <si>
    <t>A Rate Manager or Track &amp; Trace Worker typically spans the workload of two operators.</t>
  </si>
  <si>
    <t>Share of their day the Worker absorbs</t>
  </si>
  <si>
    <t>5U AI's own published claim: 70% of a daily operations person's day saved.</t>
  </si>
  <si>
    <t>Automation rate achieved at steady state</t>
  </si>
  <si>
    <t>5U AI states 85-95% unattended automation per use case. 90% is the midpoint.</t>
  </si>
  <si>
    <t>Annual value released per Core Worker (EUR)</t>
  </si>
  <si>
    <t>This is the number the whole rate card is priced against.</t>
  </si>
  <si>
    <t>Blue figures on a yellow fill are inputs. Everything else is a formula.</t>
  </si>
  <si>
    <t>3. RECOMMENDED RATE CARD (EUR, list price, ex-VAT)</t>
  </si>
  <si>
    <t>Component</t>
  </si>
  <si>
    <t>Unit</t>
  </si>
  <si>
    <t>List price</t>
  </si>
  <si>
    <t>Rationale</t>
  </si>
  <si>
    <t>Platform fee</t>
  </si>
  <si>
    <t>per customer / year</t>
  </si>
  <si>
    <t>Covers hosting, tenant isolation, the audit log, dashboards and support. Makes the first Worker cheaper and every additional Worker high-margin.</t>
  </si>
  <si>
    <t>Core AI Worker (Rate Manager, Track &amp; Trace)</t>
  </si>
  <si>
    <t>per Worker / year</t>
  </si>
  <si>
    <t>The two use cases 5U AI's own FAQ names as highest ROI. Priced at roughly 23% of the value released.</t>
  </si>
  <si>
    <t>Extended AI Worker (Invoice recon, After-hours, DocuMind)</t>
  </si>
  <si>
    <t>Lower value density and lower delivery effort; prices the expansion motion attractively.</t>
  </si>
  <si>
    <t>Included transactions per Core Worker</t>
  </si>
  <si>
    <t>~750/month. A quote, a shipment tracked, or an invoice reconciled each count as one transaction.</t>
  </si>
  <si>
    <t>Overage above included band</t>
  </si>
  <si>
    <t>per transaction</t>
  </si>
  <si>
    <t>Sits inside the US$0.50-2.00 outcome-based benchmark on the Pricing benchmarks tab.</t>
  </si>
  <si>
    <t>Onboarding and deployment (first Worker)</t>
  </si>
  <si>
    <t>one-off</t>
  </si>
  <si>
    <t>Funds the Forward Deployed Engineer through the ~4-week go-live. Do not give this away.</t>
  </si>
  <si>
    <t>Additional site or legal entity onboarding</t>
  </si>
  <si>
    <t>Multi-site forwarders are the main expansion path.</t>
  </si>
  <si>
    <t>Paid pilot - 1 Worker, 3 months</t>
  </si>
  <si>
    <t>fixed</t>
  </si>
  <si>
    <t>Fully credited against year one on conversion. Replaces the current unpriced trial.</t>
  </si>
  <si>
    <t>Implied price per transaction at included volume (EUR)</t>
  </si>
  <si>
    <t>Check figure. A sophisticated buyer will compute this. At the top of the outcome-based benchmark band, which is defensible because a freight quote carries far more margin than a support ticket.</t>
  </si>
  <si>
    <t>4. PACKAGES AND ROI (all figures calculated from sections 2 and 3)</t>
  </si>
  <si>
    <t>Metric</t>
  </si>
  <si>
    <t>Pilot</t>
  </si>
  <si>
    <t>Launch</t>
  </si>
  <si>
    <t>Scale</t>
  </si>
  <si>
    <t>Notes</t>
  </si>
  <si>
    <t>Term (months)</t>
  </si>
  <si>
    <t>Recommend a 12-month initial term for Launch and Scale.</t>
  </si>
  <si>
    <t>Core Workers</t>
  </si>
  <si>
    <t>Extended Workers</t>
  </si>
  <si>
    <t>Ops FTE-equivalents covered</t>
  </si>
  <si>
    <t>Core Workers cover ~2 operators each; Extended Workers ~1.</t>
  </si>
  <si>
    <t>Contract value over term (EUR)</t>
  </si>
  <si>
    <t>Excludes one-off onboarding of EUR 9,500, which is invoiced separately.</t>
  </si>
  <si>
    <t>Value released over term (EUR)</t>
  </si>
  <si>
    <t>Labour capacity released, using the section 2 assumptions.</t>
  </si>
  <si>
    <t>ROI multiple</t>
  </si>
  <si>
    <t>Target 2.5-4x. Anything above 5x means you are underpricing; the 15x in current marketing is not credible and invites scrutiny.</t>
  </si>
  <si>
    <t>Payback (months)</t>
  </si>
  <si>
    <t>Under 6 months is the threshold that gets a mid-market forwarder to sign without a committee.</t>
  </si>
  <si>
    <t>Annualised contract value (EUR)</t>
  </si>
  <si>
    <t>Comparison figure only. The Pilot annualises artificially high because it is a fixed fee.</t>
  </si>
  <si>
    <t>5. COMMERCIAL TERMS TO CHANGE</t>
  </si>
  <si>
    <t>Term</t>
  </si>
  <si>
    <t>Current</t>
  </si>
  <si>
    <t>Recommended</t>
  </si>
  <si>
    <t>Why it matters</t>
  </si>
  <si>
    <t>Initial term</t>
  </si>
  <si>
    <t>24 months</t>
  </si>
  <si>
    <t>12 months (24 only in exchange for a discount)</t>
  </si>
  <si>
    <t>A 2-year lock-in from a 7-person vendor with no SOC 2, no ISO 27001 and no SLA is the single biggest procurement objection. Trade length for price rather than demanding it up front.</t>
  </si>
  <si>
    <t>Termination for convenience</t>
  </si>
  <si>
    <t>None</t>
  </si>
  <si>
    <t>None for the paid term, but publish the exit and data-export process</t>
  </si>
  <si>
    <t>You do not need to give up the term. You do need to remove the fear behind the objection.</t>
  </si>
  <si>
    <t>Liability cap</t>
  </si>
  <si>
    <t>Greater of EUR 10k or 12-month fees, hard cap EUR 50k</t>
  </si>
  <si>
    <t>1x annual fees, no absolute cap below that</t>
  </si>
  <si>
    <t>At a EUR 60k ACV a EUR 50k absolute ceiling is below one year of fees and reads as unserious. This becomes a blocker the moment deal sizes rise.</t>
  </si>
  <si>
    <t>SLA</t>
  </si>
  <si>
    <t>None - 'best efforts'</t>
  </si>
  <si>
    <t>Publish a 99.5% availability target with a service-credit remedy</t>
  </si>
  <si>
    <t>Credits cost little and remove a standard procurement blocker. Exclude scheduled maintenance, as now.</t>
  </si>
  <si>
    <t>Trial</t>
  </si>
  <si>
    <t>'As Is', no binding KPIs, free opt-out</t>
  </si>
  <si>
    <t>Paid 3-month pilot, credited on conversion, with one agreed success metric</t>
  </si>
  <si>
    <t>Free pilots with no KPI attract tyre-kickers and consume the FDE capacity that is the real constraint.</t>
  </si>
  <si>
    <t>Price increases</t>
  </si>
  <si>
    <t>Provider may raise once a year on 6 weeks' notice</t>
  </si>
  <si>
    <t>Cap at CPI + 3% for the first renewal</t>
  </si>
  <si>
    <t>An uncapped increase right is a red flag in a legal review and rarely gets used anyway.</t>
  </si>
  <si>
    <t>Data and model rights (cl. 10.3)</t>
  </si>
  <si>
    <t>Provider may use Customer Data 'for its own benefit generally'</t>
  </si>
  <si>
    <t>Narrow to service provision for that customer; offer written opt-out of cross-customer training</t>
  </si>
  <si>
    <t>The broadest clause in the contract, sitting next to Hugging Face listed for fine-tuning. This will fail an enterprise data-protection review and it is not worth what it costs you.</t>
  </si>
  <si>
    <t>6. WHERE THIS LANDS AGAINST THE MARKET</t>
  </si>
  <si>
    <t>Reference point</t>
  </si>
  <si>
    <t>Their price</t>
  </si>
  <si>
    <t>How to handle it in a deal</t>
  </si>
  <si>
    <t>Quotiss (rate management SaaS)</t>
  </si>
  <si>
    <t>from US$69/user/month</t>
  </si>
  <si>
    <t>The cheapest anchor a prospect will have seen. Reframe: Quotiss is a place for a human to build a quote faster; a Rate Manager Worker removes the human from the loop entirely. Never price against it.</t>
  </si>
  <si>
    <t>Freightos Terminal (rate data)</t>
  </si>
  <si>
    <t>US$119-239/month</t>
  </si>
  <si>
    <t>A data subscription, not an operations layer. Position as complementary and integrate with it.</t>
  </si>
  <si>
    <t>Mid-market TMS</t>
  </si>
  <si>
    <t>US$100-400/user/month</t>
  </si>
  <si>
    <t>A 40-seat forwarder already spends EUR 50-190k a year here. That, not Quotiss, is the budget line the Launch package should be compared against.</t>
  </si>
  <si>
    <t>Per action, price undisclosed</t>
  </si>
  <si>
    <t>If a prospect asks for per-action pricing, offer the usage band instead - same logic, predictable invoice.</t>
  </si>
  <si>
    <t>~US$5,000 average ARR per customer</t>
  </si>
  <si>
    <t>Blended across carriers and dispatchers, so it is a floor rather than a comparable. Do not let a prospect cite it as a market rate for forwarder deployments.</t>
  </si>
  <si>
    <t>Raft, Expedock</t>
  </si>
  <si>
    <t>Undisclosed, enterprise</t>
  </si>
  <si>
    <t>Both sell to larger forwarders at higher price points. Their existence supports, not undermines, a five-figure ACV.</t>
  </si>
  <si>
    <t>7. DISCOUNT GUARDRAILS FOR THE FIRST COMMERCIAL HIRE</t>
  </si>
  <si>
    <t>Rule</t>
  </si>
  <si>
    <t>Limit</t>
  </si>
  <si>
    <t>Note</t>
  </si>
  <si>
    <t>Maximum discount without founder approval</t>
  </si>
  <si>
    <t>15%</t>
  </si>
  <si>
    <t>Applies to the Worker fee only.</t>
  </si>
  <si>
    <t>Absolute ACV floor</t>
  </si>
  <si>
    <t>EUR 24,000</t>
  </si>
  <si>
    <t>Below this the forward-deployed delivery model loses money. Walk away or reduce scope to one Worker.</t>
  </si>
  <si>
    <t>Annual prepay discount</t>
  </si>
  <si>
    <t>8%</t>
  </si>
  <si>
    <t>Cash matters more than margin at this stage.</t>
  </si>
  <si>
    <t>24-month term discount</t>
  </si>
  <si>
    <t>10%</t>
  </si>
  <si>
    <t>Sell length as a concession you grant, never as a requirement.</t>
  </si>
  <si>
    <t>Onboarding fee waiver</t>
  </si>
  <si>
    <t>Never</t>
  </si>
  <si>
    <t>Waiving it signals the deployment work is free, which is the most expensive thing you do.</t>
  </si>
  <si>
    <t>Logo or reference discount</t>
  </si>
  <si>
    <t>up to 20%, max 3 accounts</t>
  </si>
  <si>
    <t>Only for named, referenceable DACH forwarders willing to appear in a case study.</t>
  </si>
  <si>
    <t>8. WHAT WOULD CHANGE THIS RECOMMENDATION</t>
  </si>
  <si>
    <t>If HappyRobot or Augment enters European forwarding with per-action pricing, the predictable-invoice advantage disappears and the usage band has to become the headline model rather than a secondary component.</t>
  </si>
  <si>
    <t>If CargoWise ships competent native AI agents, the platform fee becomes unsellable and 5U AI has to price purely on incremental Workers.</t>
  </si>
  <si>
    <t>If Nexcade publishes pricing first, it sets the anchor for every DACH forwarder in the market. Being second to publish is worse than being first to publish slightly wrong.</t>
  </si>
  <si>
    <t>If measured automation rate in production lands nearer 60% than 90%, the value released in section 2 falls by a third and the Launch package needs to drop to roughly EUR 24,000.</t>
  </si>
  <si>
    <t>These figures are a starting position built from public data, not from 5U AI's own cost base, win rates or current contract values. Replace the yellow inputs with real deal data before taking this to a board.</t>
  </si>
  <si>
    <t>Agentic AI in freight forwarding - market sizing</t>
  </si>
  <si>
    <t>EU, UK and US. Two independent methods, deliberately triangulated against each other. Yellow cells are assumptions; pale blue cells are sourced facts. Everything else is a formula.</t>
  </si>
  <si>
    <t>1. METHOD</t>
  </si>
  <si>
    <t>Approach A - labour value</t>
  </si>
  <si>
    <t>Sizes the pool of operational labour cost that agents can absorb, then applies a vendor value-capture rate. Answers: how large could this category become?</t>
  </si>
  <si>
    <t>Approach B - bottom-up firm count</t>
  </si>
  <si>
    <t>Counts the addressable companies and multiplies by a realistic contract value. Answers: how much revenue is reachable with today's product, ICP and price points?</t>
  </si>
  <si>
    <t>Why both</t>
  </si>
  <si>
    <t>They disagree by roughly 20x, and the gap is the most important finding on this tab. See section 6.</t>
  </si>
  <si>
    <t>2. BASE DATA (sourced)</t>
  </si>
  <si>
    <t>Source</t>
  </si>
  <si>
    <t>EU forwarding, logistics and customs companies</t>
  </si>
  <si>
    <t>CLECAT, the European forwarding association - members it represents</t>
  </si>
  <si>
    <t>EU forwarding, logistics and customs staff</t>
  </si>
  <si>
    <t>CLECAT</t>
  </si>
  <si>
    <t>Germany - leading forwarding and logistics companies</t>
  </si>
  <si>
    <t>DSLV Bundesverband Spedition und Logistik</t>
  </si>
  <si>
    <t>Germany - forwarding and logistics employees</t>
  </si>
  <si>
    <t>DSLV, October 2025</t>
  </si>
  <si>
    <t>Germany - annual sector revenue (EUR)</t>
  </si>
  <si>
    <t>UK - BIFA corporate members</t>
  </si>
  <si>
    <t>British International Freight Association</t>
  </si>
  <si>
    <t>US - freight forwarding employer businesses</t>
  </si>
  <si>
    <t>US Census, NAICS 488510, 2020</t>
  </si>
  <si>
    <t>US - freight forwarding brokerages and agencies (incl. agents)</t>
  </si>
  <si>
    <t>IBISWorld - counts sole traders and agents, hence the gap vs Census</t>
  </si>
  <si>
    <t>US - freight forwarding employees</t>
  </si>
  <si>
    <t>IBISWorld, 2024</t>
  </si>
  <si>
    <t>US - market size 2026 (USD)</t>
  </si>
  <si>
    <t>IBISWorld, Freight Forwarding Brokerages &amp; Agencies</t>
  </si>
  <si>
    <t>Europe - freight forwarding market by 2030 (USD)</t>
  </si>
  <si>
    <t>Grand View Research, 5.9% CAGR from 2025</t>
  </si>
  <si>
    <t>Company counts are association membership or statistical registers, not complete universes. CLECAT's 19,000 covers established forwarders; the true long tail of micro-forwarders is larger.</t>
  </si>
  <si>
    <t>3. APPROACH A - LABOUR-VALUE TAM</t>
  </si>
  <si>
    <t>Driver</t>
  </si>
  <si>
    <t>Total</t>
  </si>
  <si>
    <t>Forwarding sector staff</t>
  </si>
  <si>
    <t>EU and US sourced. UK is an ESTIMATE - replace with BIFA or IBISWorld UK data when available.</t>
  </si>
  <si>
    <t>Share in operational / back-office roles</t>
  </si>
  <si>
    <t>Quoting, order entry, track &amp; trace, documents, invoicing. ASSUMPTION - the least evidenced input here.</t>
  </si>
  <si>
    <t>Fully loaded cost per ops FTE (EUR)</t>
  </si>
  <si>
    <t>DACH mid-market benchmark for the EU; US uplifted for salary levels.</t>
  </si>
  <si>
    <t>Total ops labour cost (EUR)</t>
  </si>
  <si>
    <t>Calculated</t>
  </si>
  <si>
    <t>Share of that work addressable by agents</t>
  </si>
  <si>
    <t>5U AI claims 70% of an ops day is repetitive; discounted for the share never fully automatable. ASSUMPTION.</t>
  </si>
  <si>
    <t>Vendor value-capture rate</t>
  </si>
  <si>
    <t>Share of displaced labour cost a software vendor converts to revenue. Early-category vendors capture far less; mature ones more. ASSUMPTION and the single biggest swing factor.</t>
  </si>
  <si>
    <t>TAM - annual revenue opportunity (EUR)</t>
  </si>
  <si>
    <t>The ceiling on the category, not on any one vendor.</t>
  </si>
  <si>
    <t>4. APPROACH B - BOTTOM-UP FIRM COUNT</t>
  </si>
  <si>
    <t>Companies in the register / association base</t>
  </si>
  <si>
    <t>US uses the Census employer-business count, not IBISWorld's agent-inclusive figure.</t>
  </si>
  <si>
    <t>Share with 100-500 employees (the stated ICP)</t>
  </si>
  <si>
    <t>Derived from the standard EU size distribution: ~99% of enterprises are SMEs and ~1% exceed 250 staff. ASSUMPTION - the band is narrow and the estimate is coarse.</t>
  </si>
  <si>
    <t>Companies in the core ICP</t>
  </si>
  <si>
    <t>Mature annual contract value (EUR)</t>
  </si>
  <si>
    <t>Platform fee plus roughly four Workers, per the rate card on the Pricing recommendation tab.</t>
  </si>
  <si>
    <t>SAM - core ICP fully penetrated (EUR)</t>
  </si>
  <si>
    <t>Every single ICP company buying, at mature ACV. A ceiling, not a forecast.</t>
  </si>
  <si>
    <t>Extended SAM - widen the ICP to 50+ employees</t>
  </si>
  <si>
    <t>Share with 50+ employees</t>
  </si>
  <si>
    <t>Adds the 50-99 band, which a lighter-touch product could reach. ASSUMPTION.</t>
  </si>
  <si>
    <t>Companies, 50+ employees</t>
  </si>
  <si>
    <t>Blended ACV across the wider band (EUR)</t>
  </si>
  <si>
    <t>Lower, because smaller firms buy fewer Workers.</t>
  </si>
  <si>
    <t>Extended SAM (EUR)</t>
  </si>
  <si>
    <t>5. SOM - what 5U AI could realistically reach</t>
  </si>
  <si>
    <t>DACH + Benelux share of the EU forwarding base</t>
  </si>
  <si>
    <t>Germany alone is the largest single national market in EU forwarding. ASSUMPTION.</t>
  </si>
  <si>
    <t>Core ICP companies in the beachhead</t>
  </si>
  <si>
    <t>Calculated - the actual named-account universe</t>
  </si>
  <si>
    <t>Realistic 3-year penetration</t>
  </si>
  <si>
    <t>Founder-led plus one commercial hire, in a market with at least three funded direct rivals. ASSUMPTION.</t>
  </si>
  <si>
    <t>Customers at year 3</t>
  </si>
  <si>
    <t>Average ACV at year 3 (EUR)</t>
  </si>
  <si>
    <t>Between the Launch and Scale packages, allowing for expansion into second and third Workers.</t>
  </si>
  <si>
    <t>SOM - year 3 ARR (EUR)</t>
  </si>
  <si>
    <t>The realistic beachhead outcome, before any geographic expansion.</t>
  </si>
  <si>
    <t>Beachhead ARR as a share of core EU SAM</t>
  </si>
  <si>
    <t>Sanity check on the penetration assumption.</t>
  </si>
  <si>
    <t>6. RECONCILIATION - THE FINDING</t>
  </si>
  <si>
    <t>Labour-value TAM (EU+UK+US)</t>
  </si>
  <si>
    <t>Approach A</t>
  </si>
  <si>
    <t>Bottom-up core SAM (EU+UK+US)</t>
  </si>
  <si>
    <t>Approach B</t>
  </si>
  <si>
    <t>Ratio</t>
  </si>
  <si>
    <t>How many times larger the labour-value ceiling is than the reachable revenue at today's ICP and pricing.</t>
  </si>
  <si>
    <t>The two methods disagree by more than an order of magnitude, and the gap is the real insight. The labour pool that agents can absorb in EU, UK and US forwarding is worth billions. The revenue actually reachable by selling two to four Workers to companies of 100-500 employees is worth low hundreds of millions.</t>
  </si>
  <si>
    <t>Put differently: the category is currently priced at roughly one to three percent of the labour value it displaces. Either the price is far too low, or - more likely at this stage - vendors are only automating a small slice of each customer's operations floor and charging accordingly.</t>
  </si>
  <si>
    <t>That has three strategic consequences. First, ACV headroom is enormous: a 150-person forwarder carries roughly EUR 2-3m of addressable ops labour, against a EUR 30-60k contract. Expansion within an account is worth far more than winning new logos. Second, the ICP is the binding constraint, not the technology - a business that only sells to 100-500 employee forwarders in DACH and Benelux is addressing a few hundred companies, and no amount of product quality changes that arithmetic. Third, a venture-scale outcome requires one of: going down-market with a self-serve product to reach the long tail, going up-market to the global forwarders, or raising ACV five to ten times by covering the whole operations floor rather than a few workflows.</t>
  </si>
  <si>
    <t>For 5U AI specifically, the SOM above lands close to what the company itself implies - scaling 'toward EUR MM ARR'. The model and the company's own language agree, which is a reasonable sign that neither is badly wrong.</t>
  </si>
  <si>
    <t>7. SENSITIVITY - year-3 ARR (EUR) by penetration and ACV</t>
  </si>
  <si>
    <t>Penetration \ ACV</t>
  </si>
  <si>
    <t>EUR 30,000</t>
  </si>
  <si>
    <t>EUR 60,000</t>
  </si>
  <si>
    <t>EUR 90,000</t>
  </si>
  <si>
    <t>EUR 120,000</t>
  </si>
  <si>
    <t>Read across the row you believe</t>
  </si>
  <si>
    <t>5% penetration</t>
  </si>
  <si>
    <t>10% penetration</t>
  </si>
  <si>
    <t>12% penetration</t>
  </si>
  <si>
    <t>20% penetration</t>
  </si>
  <si>
    <t>30% penetration</t>
  </si>
  <si>
    <t>The highlighted row is the base case used in section 5. Even at 30% penetration and a EUR 120,000 ACV, the beachhead alone does not exceed a mid-single-digit million ARR - which is why geographic expansion is in the funding narrative.</t>
  </si>
  <si>
    <t>8. CAVEATS - read before quoting any of this</t>
  </si>
  <si>
    <t>Company counts come from association membership and statistical registers, not complete universes. CLECAT's 19,000 covers established forwarders; the long tail of micro-forwarders is considerably larger and is excluded by design, since it is not addressable at these price points.</t>
  </si>
  <si>
    <t>The two most influential assumptions - the operational share of headcount (50%) and the vendor value-capture rate (12%) - are the least evidenced numbers on this tab. Neither is sourced. Both are yellow, both are worth challenging, and the TAM moves proportionally with each.</t>
  </si>
  <si>
    <t>The 100-500 employee share of the company base is derived from the general EU enterprise size distribution rather than from forwarding-specific data. If forwarding skews larger or smaller than the economy-wide pattern, the ICP count moves with it.</t>
  </si>
  <si>
    <t>The UK staff figure is an estimate, flagged in section 3. It is the one sourced-looking number on this tab that is not actually sourced.</t>
  </si>
  <si>
    <t>US and EU figures mix currencies. USD sources have been treated as broadly equivalent to EUR at this level of precision, which is defensible for sizing but not for anything finer.</t>
  </si>
  <si>
    <t>Competitor GTM strategies and ICP profiles</t>
  </si>
  <si>
    <t>Compiled 30 July 2026 from vendor sites, funding coverage, job specifications and partner announcements. 5U AI is the highlighted baseline row.</t>
  </si>
  <si>
    <t>ICP - company type</t>
  </si>
  <si>
    <t>ICP - size band</t>
  </si>
  <si>
    <t>ICP - geography</t>
  </si>
  <si>
    <t>Buyer persona</t>
  </si>
  <si>
    <t>Primary GTM motion</t>
  </si>
  <si>
    <t>Secondary channels</t>
  </si>
  <si>
    <t>Land-and-expand pattern</t>
  </si>
  <si>
    <t>Entry point</t>
  </si>
  <si>
    <t>Notable - and what 5U AI can take from it</t>
  </si>
  <si>
    <t>Mid-sized freight forwarders</t>
  </si>
  <si>
    <t>100-500 employees</t>
  </si>
  <si>
    <t>DACH + Benelux</t>
  </si>
  <si>
    <t>Head of Operations / Managing Director</t>
  </si>
  <si>
    <t>Founder-led outbound and inbound. Zero marketing spend to date; no SDR or marketing engine yet</t>
  </si>
  <si>
    <t>Industry events and forwarder networks, per the Founding GTM job spec</t>
  </si>
  <si>
    <t>Expand by workflow, team and location; the Ops hire owns upsell</t>
  </si>
  <si>
    <t>Sales-led plus forward-deployed; ~4 weeks workshop to live</t>
  </si>
  <si>
    <t>This is the baseline. The motion is entirely founder-dependent, which the Founding GTM hire is meant to fix.</t>
  </si>
  <si>
    <t>Freight forwarders including large enterprises</t>
  </si>
  <si>
    <t>Enterprise and upper mid-market</t>
  </si>
  <si>
    <t>Europe and US</t>
  </si>
  <si>
    <t>Pricing and operations leadership</t>
  </si>
  <si>
    <t>Design partnerships converted into production deployments; enterprise-logo led</t>
  </si>
  <si>
    <t>Founder network from Sedna; Project A and Connect Ventures introductions</t>
  </si>
  <si>
    <t>Job-specific agents; expand workflow by workflow</t>
  </si>
  <si>
    <t>Sales-led, design-partner first</t>
  </si>
  <si>
    <t>Won named enterprise logos before its seed round by starting as design partnerships rather than paid pilots. 5U AI has one named customer against their four.</t>
  </si>
  <si>
    <t>Carriers, brokers, 3PLs and dispatch teams</t>
  </si>
  <si>
    <t>SMB to mid-market fleet operators</t>
  </si>
  <si>
    <t>Europe, US and Caspian</t>
  </si>
  <si>
    <t>Dispatch manager / fleet owner</t>
  </si>
  <si>
    <t>High-volume, low-ACV land. 2,000 paying customers at roughly US$5,000 each</t>
  </si>
  <si>
    <t>70+ tool integrations function as distribution; multi-language coverage</t>
  </si>
  <si>
    <t>Deployed as a utility layer inside the customer's own business</t>
  </si>
  <si>
    <t>Low-touch, closer to self-serve than enterprise</t>
  </si>
  <si>
    <t>Not named publicly; a 315-truck fleet deployment is cited</t>
  </si>
  <si>
    <t>Proof that volume can beat ACV. US$10m ARR built on thousands of small contracts, not dozens of large ones.</t>
  </si>
  <si>
    <t>Raft</t>
  </si>
  <si>
    <t>Mid to large; 60+ customers in 30+ countries</t>
  </si>
  <si>
    <t>Global, including 40% of the Armstrong top-25</t>
  </si>
  <si>
    <t>COO, Head of Operations, Finance lead</t>
  </si>
  <si>
    <t>Enterprise sales with a genuine partner channel</t>
  </si>
  <si>
    <t>CargoWise integration and a PayCargo payments partnership as distribution</t>
  </si>
  <si>
    <t>Land on documents and email triage, expand into financial operations</t>
  </si>
  <si>
    <t>Sales-led enterprise</t>
  </si>
  <si>
    <t>EMO Trans, OIA Global, Scarbrough Group, NNR Global Logistics, Navia Freight</t>
  </si>
  <si>
    <t>The clearest partnership-as-distribution play in the set. Being the documented CargoWise integration wins deals before a salesperson is involved.</t>
  </si>
  <si>
    <t>Forwarders of all sizes, plus airlines and ocean carriers</t>
  </si>
  <si>
    <t>28,000 forwarders, SMB to global</t>
  </si>
  <si>
    <t>Global</t>
  </si>
  <si>
    <t>Procurement and pricing teams; carrier commercial teams</t>
  </si>
  <si>
    <t>Two-sided marketplace. Carriers pay for distribution; forwarders get the tooling</t>
  </si>
  <si>
    <t>Airline partnerships (American Airlines Cargo); a dedicated SMB product line</t>
  </si>
  <si>
    <t>Owns the booking rail, then layers AI on top; acquired Cargofive for ocean rate data</t>
  </si>
  <si>
    <t>Self-serve for forwarders</t>
  </si>
  <si>
    <t>The distribution threat nobody in this category can match. If cargo.one ships agentic workflows, it reaches 28,000 forwarders on day one.</t>
  </si>
  <si>
    <t>Reform</t>
  </si>
  <si>
    <t>Mid-market</t>
  </si>
  <si>
    <t>North America, LATAM, Europe</t>
  </si>
  <si>
    <t>Operations leadership</t>
  </si>
  <si>
    <t>Y Combinator network plus content-led credibility</t>
  </si>
  <si>
    <t>Podcast appearances and published case studies</t>
  </si>
  <si>
    <t>Quote-to-cash breadth across the whole operational span</t>
  </si>
  <si>
    <t>Sales-led</t>
  </si>
  <si>
    <t>Not named; a mid-size forwarder case study claims ~1,500 hours saved per month</t>
  </si>
  <si>
    <t>Content and case studies doing the work a sales team would otherwise do. Cheap, and 5U AI publishes almost nothing.</t>
  </si>
  <si>
    <t>Freight brokerages, air cargo carriers, 3PLs</t>
  </si>
  <si>
    <t>SMB and lower mid-market</t>
  </si>
  <si>
    <t>Operations manager</t>
  </si>
  <si>
    <t>Product-led growth - the only true PLG motion in EU forwarding AI</t>
  </si>
  <si>
    <t>Published pricing and a low entry point remove the sales conversation</t>
  </si>
  <si>
    <t>Land on email classification, expand with volume</t>
  </si>
  <si>
    <t>Self-serve from US$79/month plus per-email usage</t>
  </si>
  <si>
    <t>Proves a forwarder will swipe a card for this category. Their base-plus-usage model is exactly what section 12 recommends for 5U AI.</t>
  </si>
  <si>
    <t>Brokers and 3PLs, now retailers, manufacturers, 4PLs and carriers</t>
  </si>
  <si>
    <t>Mid-market to enterprise</t>
  </si>
  <si>
    <t>US primarily</t>
  </si>
  <si>
    <t>COO / operations leadership</t>
  </si>
  <si>
    <t>Forward-deployed engineers working on-site with customers</t>
  </si>
  <si>
    <t>project44 partnership; Microsoft for Startups programme</t>
  </si>
  <si>
    <t>Expand across workflows once the first deployment proves out</t>
  </si>
  <si>
    <t>Sales-led plus FDE</t>
  </si>
  <si>
    <t>Not named publicly</t>
  </si>
  <si>
    <t>The same forward-deployed model as 5U AI, executed with roughly twenty times the capital. Watch how they industrialise it.</t>
  </si>
  <si>
    <t>Shippers, brokers, carriers and distributors</t>
  </si>
  <si>
    <t>Enterprise; US$35bn freight under management</t>
  </si>
  <si>
    <t>C-suite</t>
  </si>
  <si>
    <t>Enterprise land with large logos, funded by aggressive hiring</t>
  </si>
  <si>
    <t>Founder brand from Deliverr; 50+ engineers and 10+ GTM hires planned</t>
  </si>
  <si>
    <t>Front-office quoting and dispatch, then back-office billing and compliance</t>
  </si>
  <si>
    <t>Their ACV growth path is scope expansion from front office to back office - the same move available to 5U AI.</t>
  </si>
  <si>
    <t>Freight brokers and carriers</t>
  </si>
  <si>
    <t>Top-tier brokers</t>
  </si>
  <si>
    <t>Broker operations leadership</t>
  </si>
  <si>
    <t>Named-logo enterprise sales plus competitive-comparison SEO</t>
  </si>
  <si>
    <t>Published comparison pages against eight named rivals; Highway partnership for carrier identity</t>
  </si>
  <si>
    <t>A product ladder: Quote, then Build, then Voice</t>
  </si>
  <si>
    <t>Echo, MODE, Arrive Logistics, NFI</t>
  </si>
  <si>
    <t>The comparison-page playbook is directly copyable and costs almost nothing. 5U AI currently ranks for nothing.</t>
  </si>
  <si>
    <t>SMB brokers</t>
  </si>
  <si>
    <t>Broker owner / operations</t>
  </si>
  <si>
    <t>Voice-first wedge: take over 100% of inbound calls</t>
  </si>
  <si>
    <t>Y Combinator and First Round networks</t>
  </si>
  <si>
    <t>Land on inbound calls, expand into dispatch</t>
  </si>
  <si>
    <t>A narrow wedge with obvious, immediate value. Contrast with 5U AI's broader but slower four-week deployment.</t>
  </si>
  <si>
    <t>Brokers and forwarders</t>
  </si>
  <si>
    <t>SMB</t>
  </si>
  <si>
    <t>Operations staff</t>
  </si>
  <si>
    <t>Y Combinator network; email-native adoption</t>
  </si>
  <si>
    <t>Low-friction inbox install</t>
  </si>
  <si>
    <t>Land in the inbox, expand into TMS tasks</t>
  </si>
  <si>
    <t>Low-touch</t>
  </si>
  <si>
    <t>The cheapest path to first value in the set - and the model most likely to be copied by a low-cost entrant.</t>
  </si>
  <si>
    <t>High volume; 10,000+ documents/month</t>
  </si>
  <si>
    <t>Back-office and operations leadership</t>
  </si>
  <si>
    <t>Enterprise sales, with GTM built out deliberately between seed and Series A</t>
  </si>
  <si>
    <t>Insight Partners and Pear VC networks</t>
  </si>
  <si>
    <t>Land on documents; no per-document fees, deliberately, to encourage volume growth</t>
  </si>
  <si>
    <t>Wayfair, ClearFreight, JUSDA, Ascent (Roadrunner)</t>
  </si>
  <si>
    <t>Pricing designed to remove adoption friction rather than maximise early revenue. Worth copying.</t>
  </si>
  <si>
    <t>Other</t>
  </si>
  <si>
    <t>Air freight forwarders</t>
  </si>
  <si>
    <t>500+ RFQs per month</t>
  </si>
  <si>
    <t>Global, sells into EU and US</t>
  </si>
  <si>
    <t>Air pricing and sales teams</t>
  </si>
  <si>
    <t>Carrier rate partnerships as the credibility route</t>
  </si>
  <si>
    <t>Direct integrations with Lufthansa Cargo and Emirates SkyCargo</t>
  </si>
  <si>
    <t>Narrow by design: air quoting only</t>
  </si>
  <si>
    <t>Carrier integrations function as a moat and a sales proof point simultaneously.</t>
  </si>
  <si>
    <t>IT and operations leadership</t>
  </si>
  <si>
    <t>Enterprise per-seat platform sales</t>
  </si>
  <si>
    <t>Partner integrations, notably Shipamax</t>
  </si>
  <si>
    <t>Owns the inbox, then layers AI features on top</t>
  </si>
  <si>
    <t>Incumbent inbox ownership is the position 5U AI is trying to bypass - and Sedna's ex-COO founded Nexcade.</t>
  </si>
  <si>
    <t>All sizes</t>
  </si>
  <si>
    <t>CIO / IT leadership</t>
  </si>
  <si>
    <t>Licence bundling through an established partner ecosystem</t>
  </si>
  <si>
    <t>Certified partner network with training and certification</t>
  </si>
  <si>
    <t>Bundles new modules into an existing licence at near-zero marginal price</t>
  </si>
  <si>
    <t>Enterprise licence</t>
  </si>
  <si>
    <t>The platform-bundling risk. Every integration 5U AI builds deepens both the moat and the dependency.</t>
  </si>
  <si>
    <t>GTM ARCHETYPES OBSERVED</t>
  </si>
  <si>
    <t>1. Forward-deployed enterprise</t>
  </si>
  <si>
    <t>5U AI, HappyRobot, Nexcade, Raft. An engineer embeds, builds the deployment, and the account expands from there. Highest ACV and highest trust, but capacity-bound: growth is limited by how many engineers you can hire, not how much demand you can generate.</t>
  </si>
  <si>
    <t>2. Product-led self-serve</t>
  </si>
  <si>
    <t>Levity, cargo.one's SMB line, Drumkit. Published price, card payment, no sales conversation. Reaches the long tail that forward-deployed delivery can never serve economically. Levity is the only EU forwarding AI vendor running this properly.</t>
  </si>
  <si>
    <t>3. Two-sided marketplace</t>
  </si>
  <si>
    <t>cargo.one, Freightos. The carrier side funds distribution to the forwarder side. Structurally the strongest position in the category, and the hardest to build from a standing start.</t>
  </si>
  <si>
    <t>4. Partnership-as-distribution</t>
  </si>
  <si>
    <t>Raft with CargoWise and PayCargo; Wisor with Lufthansa Cargo and Emirates SkyCargo; HappyRobot with project44; Vooma with Highway. Being the documented integration wins deals before a salesperson is involved. Notably absent from 5U AI's motion.</t>
  </si>
  <si>
    <t>5. Competitive-comparison demand capture</t>
  </si>
  <si>
    <t>Vooma publishes head-to-head pages against eight named rivals and captures prospects already in evaluation. Near-zero cost, and it works because buyers in this category search by vendor name.</t>
  </si>
  <si>
    <t>ICP PATTERNS - WHAT THE FIELD HAS CONVERGED ON</t>
  </si>
  <si>
    <t>The US cohort sells to brokers</t>
  </si>
  <si>
    <t>HappyRobot, Vooma, FleetWorks, Lanesurf, Drumkit and Parade all target freight brokerages and road transport. That market is larger, more consolidated and faster-moving than European forwarding - which is precisely why it is crowded and why the European forwarding lane remains relatively open.</t>
  </si>
  <si>
    <t>The EU/UK cohort sells to forwarders</t>
  </si>
  <si>
    <t>5U AI, Nexcade, Raft and cargo.one all target freight forwarders in air and ocean. This is the contested lane, and it now has four funded participants, one of which owns the booking rail.</t>
  </si>
  <si>
    <t>Everybody is drifting toward the same ICP</t>
  </si>
  <si>
    <t>HappyRobot started with brokers and expanded into 3PLs, 4PLs, retailers and manufacturers across ocean, air and truckload. Nexcade has moved into the US. Cargofy already covers Europe, the US and the Caspian. The geographic and segment moats are thinner than any single vendor's positioning suggests.</t>
  </si>
  <si>
    <t>Size band is the real differentiator</t>
  </si>
  <si>
    <t>Cargofy proves the sub-100-employee segment is monetisable at roughly US$5,000 per account. cargo.one proves the SMB long tail can be reached self-serve. 5U AI's 100-500 employee band is the narrowest ICP of any funded player in the set - a few hundred companies in the beachhead, per the Market sizing tab.</t>
  </si>
  <si>
    <t>IMPLICATIONS FOR 5U AI</t>
  </si>
  <si>
    <t>Missing: a partner channel</t>
  </si>
  <si>
    <t>Every scaled competitor has one. Raft's CargoWise integration, Wisor's carrier connections, HappyRobot's project44 tie-up. 5U AI already integrates WiseTech and Timocom but does not market either as a channel.</t>
  </si>
  <si>
    <t>Missing: any published content</t>
  </si>
  <si>
    <t>Two blog posts total. Reform builds credibility through podcasts and case studies; Vooma captures demand through comparison pages. Both are cheap and neither requires the commercial hire to be in place first.</t>
  </si>
  <si>
    <t>Missing: a named reference customer at scale</t>
  </si>
  <si>
    <t>Nexcade lists XPO and Zencargo at seed stage. 5U AI lists one customer. In a market where forwarders buy on peer proof, this is the single most valuable thing the first commercial hire could produce.</t>
  </si>
  <si>
    <t>Risk: the ICP is the narrowest in the field</t>
  </si>
  <si>
    <t>A few hundred addressable companies in the beachhead. Either widen the band, or accept that expansion within accounts - not new logos - has to carry the growth.</t>
  </si>
  <si>
    <t>Risk: cargo.one owns the distribution</t>
  </si>
  <si>
    <t>28,000 forwarders already on platform, now with an AI-native OS and an ocean rate platform acquired. They do not need to win a sales cycle to reach 5U AI's prospects.</t>
  </si>
  <si>
    <t>Whitespace analysis - where demand exists and no funded competitor is positioned</t>
  </si>
  <si>
    <t>Derived by crossing the Feature matrix (workflow coverage), the GTM and ICP tab (motions run) and the Market sizing tab (segments reachable). Ordered by actionability for 5U AI. Mirrors dossier section 15.</t>
  </si>
  <si>
    <t>#</t>
  </si>
  <si>
    <t>Whitespace</t>
  </si>
  <si>
    <t>Why it is open</t>
  </si>
  <si>
    <t>Evidence</t>
  </si>
  <si>
    <t>For 5U AI</t>
  </si>
  <si>
    <t>Which lever it pulls</t>
  </si>
  <si>
    <t>1</t>
  </si>
  <si>
    <t>Self-serve agentic product for sub-100-employee forwarders</t>
  </si>
  <si>
    <t>Every agentic vendor in EU forwarding is sales-led and forward-deployed; the long tail cannot be served economically that way. Levity is self-serve but stops at email classification - it does not execute.</t>
  </si>
  <si>
    <t>Feature matrix: 'self-serve sign-up' is No or Unknown for every agentic vendor. Market sizing: the sub-100 tail is the majority of ~19,000 EU forwarders and is excluded from every funded player's ICP.</t>
  </si>
  <si>
    <t>The single largest structural opportunity, and the one the market-sizing arithmetic demands. A cut-down, one-Worker, fixed-price product (~EUR 500-1,000/month) would be the first true PLG agentic offer in EU forwarding.</t>
  </si>
  <si>
    <t>More addressable companies</t>
  </si>
  <si>
    <t>2</t>
  </si>
  <si>
    <t>Customs and compliance workflow</t>
  </si>
  <si>
    <t>The one major forwarding workflow no agentic worker covers. Only Digicust (EUR 2.3m seed) addresses it, as a point solution - and the EU Customs Reform digitises core processes from 2026, forcing every forwarder to change how declarations are filed.</t>
  </si>
  <si>
    <t>Feature matrix: customs is No for 5U AI, Nexcade, Cargofy, HappyRobot, Augment and Vooma alike. A regulatory forcing function with a structural deadline is rare.</t>
  </si>
  <si>
    <t>Partner with or acquire Digicust-class capability, or build a Customs Worker. Whoever adds customs to an agentic suite first claims 'end-to-end' credibly - and closes the gap a rival could otherwise use against 5U AI.</t>
  </si>
  <si>
    <t>Higher ACV per account</t>
  </si>
  <si>
    <t>3</t>
  </si>
  <si>
    <t>European road freight forwarding</t>
  </si>
  <si>
    <t>The US cohort automates road brokerage; the EU cohort automates air and ocean. European road forwarding and charter brokerage - the Timocom world - sits between them, served by neither.</t>
  </si>
  <si>
    <t>GTM and ICP tab: no funded player names EU road forwarders as ICP. 5U AI already integrates Timocom, the dominant European road freight exchange - the entry point exists and is unmarketed.</t>
  </si>
  <si>
    <t>Cheapest adjacent expansion: same buyer type, same country, an integration already built. A 'Road Charter Worker' would face no direct funded competitor today.</t>
  </si>
  <si>
    <t>4</t>
  </si>
  <si>
    <t>Multilingual voice for EU forwarding</t>
  </si>
  <si>
    <t>Voice AI is mature in US brokerage (FleetWorks, Lanesurf, CloneOps, HappyRobot) and absent in EU forwarding, where phone traffic is multilingual and no US stack handles DACH/Benelux languages or carrier habits well.</t>
  </si>
  <si>
    <t>Feature matrix: voice is Yes across the US cohort, No or Unknown across the EU forwarding cohort. 5U AI claims the channel but demonstrates email first.</t>
  </si>
  <si>
    <t>A defensible second act rather than a first move - the US players set the quality bar, but none of them is tuned for European languages or forwarding call patterns.</t>
  </si>
  <si>
    <t>5</t>
  </si>
  <si>
    <t>TMS marketplace channel - 'certified agentic layer for CargoWise'</t>
  </si>
  <si>
    <t>Raft markets its CargoWise integration and wins deals through it, but no vendor owns the position of the certified agentic layer inside the WiseTech ecosystem. Distribution through the system of record beats direct sales in this market.</t>
  </si>
  <si>
    <t>GTM and ICP tab: partnership-as-distribution is the highest-leverage motion observed, and 5U AI is the only forward-deployed player running none of it despite having the WiseTech integration built.</t>
  </si>
  <si>
    <t>Fastest fix on the list: package and certify what already exists. The risk cuts both ways - deepening CargoWise dependency is also the platform risk in dossier section 11 - but the channel is open today.</t>
  </si>
  <si>
    <t>Distribution and trust</t>
  </si>
  <si>
    <t>6</t>
  </si>
  <si>
    <t>Decision-data benchmarking</t>
  </si>
  <si>
    <t>Every vendor logs decisions; none sells the aggregate back as market intelligence - quote-response benchmarks, lane-level exception rates, win-rate norms. Freightos monetises rate data but not operational-decision data.</t>
  </si>
  <si>
    <t>No competitor in the set offers an operational benchmarking product. 5U AI's Decision Layer is explicitly framed as its moat and already captures the raw material.</t>
  </si>
  <si>
    <t>A second product line with network effects: each customer makes the benchmark better, and the benchmark makes each sale easier. Requires the clause 10.3 data-rights question to be resolved cleanly first - the moat and the compliance risk are the same asset.</t>
  </si>
  <si>
    <t>7</t>
  </si>
  <si>
    <t>Regulated-AI positioning under the EU AI Act</t>
  </si>
  <si>
    <t>US entrants will face EU AI Act, GDPR and data-residency scrutiny when they cross the Atlantic. No vendor currently markets compliance as a product feature; the EU-native players treat it as legal boilerplate rather than a wedge.</t>
  </si>
  <si>
    <t>The competitor set's certifications are uniformly absent - no SOC 2 or ISO 27001 anywhere in the cohort. First to hold certifications plus documented AI-Act conformity wins enterprise procurement by default.</t>
  </si>
  <si>
    <t>Cheap insurance and sharp differentiation for the same spend: 5U AI needs the certifications anyway, and marketing them as 'the compliant choice' taxes every US rival's entry.</t>
  </si>
  <si>
    <t>READING THE LIST AS A WHOLE</t>
  </si>
  <si>
    <t>Spaces 1 and 3 attack the ICP-arithmetic problem from the Market sizing tab (too few addressable companies). Spaces 2, 4 and 6 raise ACV per account - the other lever the sizing identified. Spaces 5 and 7 are distribution and trust fixes that cost little and compound.</t>
  </si>
  <si>
    <t>5U AI's existing assets - the Timocom and WiseTech integrations, the Decision Layer, the EU incorporation - already sit at the mouth of five of the seven spaces. The whitespace is less about building new things than about marketing what is already built.</t>
  </si>
  <si>
    <t>Limitation: this analysis is derived from public positioning, so it finds gaps in what vendors SAY they do. A competitor could be quietly building in any of these spaces - customs and voice especially are obvious enough that they will not stay open long.</t>
  </si>
  <si>
    <t>5U AI - unit economics (seller side)</t>
  </si>
  <si>
    <t>Does the rate card on the Pricing recommendation tab actually work for 5U AI? Gross margin per customer, delivery capacity, CAC/LTV and company break-even. Built entirely from assumptions (yellow) - 5U AI's real cost base is not public. Mirrors dossier section 16.</t>
  </si>
  <si>
    <t>1. COST INPUTS</t>
  </si>
  <si>
    <t>Input</t>
  </si>
  <si>
    <t>FDE fully loaded annual cost (EUR)</t>
  </si>
  <si>
    <t>Munich forward-deployed engineer: ~EUR 85-90k salary plus employer costs.</t>
  </si>
  <si>
    <t>Working weeks per FDE-year</t>
  </si>
  <si>
    <t>Net of leave, holidays, internal work.</t>
  </si>
  <si>
    <t>FDE cost per week (EUR)</t>
  </si>
  <si>
    <t>FDE cost per day (EUR)</t>
  </si>
  <si>
    <t>Deployment FDE-weeks - first Worker</t>
  </si>
  <si>
    <t>The ~4-week workshop-to-live cycle 5U AI describes.</t>
  </si>
  <si>
    <t>Deployment FDE-weeks - each additional Worker</t>
  </si>
  <si>
    <t>Config and SOP work on an already-integrated account.</t>
  </si>
  <si>
    <t>FDE maintenance days per Worker per year</t>
  </si>
  <si>
    <t>Portal changes, SOP updates, retraining. The self-healing claim reduces but does not remove this.</t>
  </si>
  <si>
    <t>Ops/CSM fully loaded annual cost (EUR)</t>
  </si>
  <si>
    <t>Munich Founding Ops profile.</t>
  </si>
  <si>
    <t>Accounts per Ops person at steady state</t>
  </si>
  <si>
    <t>Weekly cadence for 6 weeks then monthly, per the Founding Ops job spec.</t>
  </si>
  <si>
    <t>Support cost per account per year (EUR)</t>
  </si>
  <si>
    <t>LLM inference cost per transaction (EUR)</t>
  </si>
  <si>
    <t>Multi-step agent runs (parse, extract, reason, draft, update) with routing to small models. Email-centric; voice would be several times higher.</t>
  </si>
  <si>
    <t>Infra + observability per customer per year (EUR)</t>
  </si>
  <si>
    <t>Isolated tenant on Northflank, Langfuse, Sentry, storage.</t>
  </si>
  <si>
    <t>Transactions per Core Worker per year</t>
  </si>
  <si>
    <t>Matches the included band on the Pricing recommendation tab.</t>
  </si>
  <si>
    <t>Transactions per Extended Worker per year</t>
  </si>
  <si>
    <t>Lower volume density.</t>
  </si>
  <si>
    <t>2. PER-CUSTOMER P&amp;L (rate-card packages)</t>
  </si>
  <si>
    <t>Package definitions from the Pricing recommendation tab.</t>
  </si>
  <si>
    <t>Total Workers</t>
  </si>
  <si>
    <t>Annual recurring revenue (EUR)</t>
  </si>
  <si>
    <t>Rate-card list prices.</t>
  </si>
  <si>
    <t>Onboarding fee, year 1 (EUR)</t>
  </si>
  <si>
    <t>Charged once, first Worker only, per the rate card.</t>
  </si>
  <si>
    <t>Year-1 revenue (EUR)</t>
  </si>
  <si>
    <t>Deployment cost (EUR)</t>
  </si>
  <si>
    <t>First Worker at 4 FDE-weeks, each further Worker at 2.</t>
  </si>
  <si>
    <t>Support / CSM (EUR)</t>
  </si>
  <si>
    <t>One Ops seat spread across accounts.</t>
  </si>
  <si>
    <t>FDE maintenance (EUR)</t>
  </si>
  <si>
    <t>Days per Worker times day cost.</t>
  </si>
  <si>
    <t>LLM inference (EUR)</t>
  </si>
  <si>
    <t>Included transaction volumes times cost per transaction.</t>
  </si>
  <si>
    <t>Infrastructure (EUR)</t>
  </si>
  <si>
    <t>Per isolated tenant.</t>
  </si>
  <si>
    <t>Year-1 total cost (EUR)</t>
  </si>
  <si>
    <t>Year-1 gross margin (EUR)</t>
  </si>
  <si>
    <t>Year-1 gross margin %</t>
  </si>
  <si>
    <t>Steady-state cost, year 2+ (EUR)</t>
  </si>
  <si>
    <t>No deployment cost after year 1.</t>
  </si>
  <si>
    <t>Steady-state gross margin (EUR)</t>
  </si>
  <si>
    <t>Steady-state gross margin %</t>
  </si>
  <si>
    <t>SaaS benchmark: 75-85%. Forward-deployed agentic vendors run structurally lower.</t>
  </si>
  <si>
    <t>3. DEPLOYMENT FEE vs DEPLOYMENT COST</t>
  </si>
  <si>
    <t>Check</t>
  </si>
  <si>
    <t>Implication</t>
  </si>
  <si>
    <t>Onboarding fee, first Worker (EUR)</t>
  </si>
  <si>
    <t>Rate card.</t>
  </si>
  <si>
    <t>Deployment cost, first Worker (EUR)</t>
  </si>
  <si>
    <t>4 FDE-weeks.</t>
  </si>
  <si>
    <t>Margin on first deployment (EUR)</t>
  </si>
  <si>
    <t>Effectively zero - the fee prices the FDE at cost. Correct instinct: do not discount it.</t>
  </si>
  <si>
    <t>Unbilled cost per ADDITIONAL Worker (EUR)</t>
  </si>
  <si>
    <t>The rate card charges no deployment fee beyond the first Worker - every expansion Worker ships with ~EUR 4,800 of unbilled FDE time. Add a per-additional-Worker deployment fee of ~EUR 4,500.</t>
  </si>
  <si>
    <t>4. DELIVERY CAPACITY - THE REAL GROWTH CONSTRAINT</t>
  </si>
  <si>
    <t>Max first-deployments per FDE-year (no portfolio)</t>
  </si>
  <si>
    <t>Upper bound before any maintenance load.</t>
  </si>
  <si>
    <t>Workers that fully saturate one FDE with maintenance</t>
  </si>
  <si>
    <t>At this portfolio size an FDE does nothing but maintain.</t>
  </si>
  <si>
    <t>Practical portfolio per FDE (Workers)</t>
  </si>
  <si>
    <t>Maintenance plus a few new deployments per year. ASSUMPTION.</t>
  </si>
  <si>
    <t>Average Workers per customer</t>
  </si>
  <si>
    <t>Between Scale and Enterprise mix.</t>
  </si>
  <si>
    <t>Customers served per FDE</t>
  </si>
  <si>
    <t>FDEs needed at the break-even customer count (section 6)</t>
  </si>
  <si>
    <t>Growth is FDE-hiring-bound long before it is demand-bound - this quantifies the GTM tab's qualitative point.</t>
  </si>
  <si>
    <t>5. CAC AND LTV</t>
  </si>
  <si>
    <t>GTM cost per year (EUR)</t>
  </si>
  <si>
    <t>Founding GTM (~EUR 140k loaded) plus SDR (~EUR 80k), per the open roles.</t>
  </si>
  <si>
    <t>New deals closed per year</t>
  </si>
  <si>
    <t>ASSUMPTION for a two-person commercial team.</t>
  </si>
  <si>
    <t>CAC (EUR)</t>
  </si>
  <si>
    <t>Blended steady-state GM per customer (EUR)</t>
  </si>
  <si>
    <t>Mix: 60% Launch, 30% Scale, 10% Enterprise. ASSUMPTION.</t>
  </si>
  <si>
    <t>Average customer lifetime (years)</t>
  </si>
  <si>
    <t>Two-year initial term plus renewal; 'renew and expand' per 5U AI's own GTM job spec.</t>
  </si>
  <si>
    <t>LTV on gross margin (EUR)</t>
  </si>
  <si>
    <t>LTV / CAC</t>
  </si>
  <si>
    <t>Anything above 3x is healthy. Sales efficiency is NOT 5U AI's problem.</t>
  </si>
  <si>
    <t>CAC payback (months of steady-state GM)</t>
  </si>
  <si>
    <t>6. COMPANY BREAK-EVEN</t>
  </si>
  <si>
    <t>Team size after current hiring round</t>
  </si>
  <si>
    <t>7 today plus 7 open roles.</t>
  </si>
  <si>
    <t>Average fully loaded cost per head (EUR)</t>
  </si>
  <si>
    <t>Munich engineering-weighted mix.</t>
  </si>
  <si>
    <t>Non-headcount opex per year (EUR)</t>
  </si>
  <si>
    <t>Office, tools, legal, marketing, shared infrastructure.</t>
  </si>
  <si>
    <t>Total opex per year (EUR)</t>
  </si>
  <si>
    <t>Break-even customer count</t>
  </si>
  <si>
    <t>Opex divided by blended steady-state GM per customer.</t>
  </si>
  <si>
    <t>As share of the beachhead ICP (Market sizing tab)</t>
  </si>
  <si>
    <t>213 from the Market sizing tab. Break-even inside the beachhead alone requires ~2.5x the base-case 12% penetration.</t>
  </si>
  <si>
    <t>Implied burn at year-3 SOM (26 customers, EUR/yr)</t>
  </si>
  <si>
    <t>Against the US$3.2m (~EUR 2.9m) raised: a next raise is needed in roughly 18-24 months.</t>
  </si>
  <si>
    <t>7. FINDINGS</t>
  </si>
  <si>
    <t>1. The rate card holds up, but this is not a pure-software margin structure. Steady-state gross margin runs roughly 60-69% by package against a 75-85% SaaS benchmark; year 1 lands near 43-45% because deployment consumes most of the onboarding fee. Acceptable for a forward-deployed model - but it must be presented as such to investors.</t>
  </si>
  <si>
    <t>2. The pricing gap: expansion Workers ship with ~EUR 4,800 of unbilled deployment each. The rate card charges onboarding once, on the first Worker only. A per-additional-Worker deployment fee (~EUR 4,500) is the single highest-leverage change to the section-12 rate card this model surfaced.</t>
  </si>
  <si>
    <t>3. Sales efficiency is excellent and irrelevant. LTV/CAC near 10x and CAC payback around 5 months - but the constraint is FDE capacity (one FDE serves ~10 customers) and beachhead size, not the cost of selling. Hiring FDEs is the growth budget; hiring SDRs is not.</t>
  </si>
  <si>
    <t>4. Break-even needs ~63 customers - roughly 30% of the beachhead ICP, or 2.5x the base-case penetration from the Market sizing tab. The unit economics therefore reach the same conclusion as the whitespace analysis from the opposite direction: widen the ICP or raise ACV, because the beachhead alone cannot carry a 14-person company to profitability.</t>
  </si>
  <si>
    <t>5. Runway arithmetic: at year-3 base case the company still burns ~EUR 1m a year against ~EUR 2.9m raised. A next raise in 18-24 months is structural, not optional - which explains the GTM job spec's urgency about a repeatable commercial engine.</t>
  </si>
  <si>
    <t>8. CAVEATS</t>
  </si>
  <si>
    <t>Every input is an assumption - 5U AI's actual salaries, deployment times, model routing and infra bills are not public. The model is for testing the shape of the business, not auditing it. Inference costs are falling and would improve margins over time; adding voice would push them the other way. Replace the yellow cells with real data before using this for anything beyond orientation.</t>
  </si>
  <si>
    <t>Horizontal platforms - the 'why not build it ourselves?' competitor set</t>
  </si>
  <si>
    <t>The first objection a mid-market forwarder's IT lead raises is not another freight AI vendor - it is n8n, Copilot Studio, or an internal build. These do not compete on outcome; they compete inside the sales cycle, by lowering the perceived price anchor and delaying decisions. Mirrors dossier section 17.</t>
  </si>
  <si>
    <t>Platform</t>
  </si>
  <si>
    <t>What it is</t>
  </si>
  <si>
    <t>Published price</t>
  </si>
  <si>
    <t>What a forwarder's IT could realistically build</t>
  </si>
  <si>
    <t>Where it breaks in freight operations</t>
  </si>
  <si>
    <t>Threat</t>
  </si>
  <si>
    <t>How 5U AI handles it in a deal</t>
  </si>
  <si>
    <t>Microsoft Copilot Studio + Power Automate</t>
  </si>
  <si>
    <t>Agent builder inside the M365 stack every forwarder already licenses. Tenant-graph grounding on mail, SharePoint and Teams; autonomous agent actions since 2025.</t>
  </si>
  <si>
    <t>US$200/month per 25,000 Copilot Credits, or pay-as-you-go at US$0.01/credit. A generative answer is ~2 credits; an autonomous agent action is 25+ (~US$0.25).</t>
  </si>
  <si>
    <t>An internal knowledge Q&amp;A agent, email triage and drafting grounded on tenant data, simple approval flows in Teams. Genuinely useful, ships in weeks, and the CFO sees it as already paid for.</t>
  </si>
  <si>
    <t>No TMS, portal or carrier-system depth; no freight document extraction tuned to rate sheets and B/L formats; autonomous actions get expensive at 9,000 transactions/Worker/year (~EUR 2,000+ in credits before any orchestration); no shipment-thread state across months; IT owns every breakage.</t>
  </si>
  <si>
    <t>The one to respect. Concede the internal Q&amp;A use case - then anchor on the four-node pipeline (listener, worker, HITL, communicator), shadow-mode training, portal automation and the audit log, none of which Copilot Studio provides for freight. Sell alongside Teams, not against it: 5U AI's approvals already live in Teams.</t>
  </si>
  <si>
    <t>n8n</t>
  </si>
  <si>
    <t>Open-source workflow automation with first-class AI agent nodes. Free self-hosted; the tool of choice for a technical ops person who wants to prove a point.</t>
  </si>
  <si>
    <t>Self-hosted: EUR 0 platform + ~EUR 5-7/month VPS + own LLM tokens. Cloud: EUR 24-800/month by execution volume. Enterprise: custom, execution-based.</t>
  </si>
  <si>
    <t>Email-to-extraction-to-TMS-webhook pipelines, quote drafting with an LLM node, status-update automations. A capable builder gets a demo running in days - which is exactly why this objection appears in deals.</t>
  </si>
  <si>
    <t>The demo is 20% of the job. No months-long shipment state, no built-in HITL approval queue, no freight document models, portal automations break silently, and the workflow's author becomes a single point of failure the day they leave. Exceptions - which are the job - each become a new branch to hand-build.</t>
  </si>
  <si>
    <t>MED-HIGH</t>
  </si>
  <si>
    <t>Do not argue the tool is bad - argue the maintenance is the product. 5U AI's pitch: the 'exception is the job' argument from their own thesis post, plus self-healing portal automation and a Decision Layer n8n has no equivalent of. Note: n8n operators sit on Nexcade's angel list - the platform is feeding the category.</t>
  </si>
  <si>
    <t>Zapier / Make</t>
  </si>
  <si>
    <t>Consumer-grade automation with agent add-ons bolted on. Zapier Agents are a ~US$20/month add-on over task-based plans.</t>
  </si>
  <si>
    <t>Zapier: free tier, then US$29.99-103.50/month by task volume; enterprise custom; AI-heavy usage inflates bills ~25%. Make: comparable task-based tiers.</t>
  </si>
  <si>
    <t>Simple notification flows, CRM updates, form-to-sheet automations. The SMB forwarder's first automation is often a Zap.</t>
  </si>
  <si>
    <t>Task-based pricing collapses at freight volumes (9,000 transactions = 9,000+ tasks/Worker before branching); no state, no documents, no portals, no audit trail. Not built for operational execution.</t>
  </si>
  <si>
    <t>Rarely a real objection above 50 employees. If it appears, the transaction-volume arithmetic ends the conversation.</t>
  </si>
  <si>
    <t>UiPath (agentic automation)</t>
  </si>
  <si>
    <t>The RPA incumbent already inside larger forwarders' back offices, now selling 'agentic automation' with Agent Units metering and named supply-chain use cases (order processing, exception handling, invoice automation).</t>
  </si>
  <si>
    <t>Custom enterprise quotes; credit-based (Unified) or licence-based (Flex) frameworks. Historically a six-figure enterprise line item with implementation partners on top.</t>
  </si>
  <si>
    <t>Screen-scraping bots for legacy TMS data entry, invoice processing, portal logins - often already deployed. The agentic layer extends what an existing RPA team owns.</t>
  </si>
  <si>
    <t>Classic RPA brittleness: bots break on every UI change and the fix goes through an IT backlog. The agentic reframe is new and sold top-down into IT, not into operations. Heavy, slow, project-based - the opposite of a 4-week forward-deployed Worker.</t>
  </si>
  <si>
    <t>Real only in 500+ employee accounts - mostly above 5U AI's ICP. Where it appears: position Workers as operations-owned and outcome-accountable vs IT-owned bots with a change-request queue.</t>
  </si>
  <si>
    <t>Build in-house (LangChain / CrewAI / provider SDKs)</t>
  </si>
  <si>
    <t>A forwarder's IT team builds its own agents on open frameworks and model APIs. The objection sounds cheapest and is the most expensive option on this tab.</t>
  </si>
  <si>
    <t>Framework: free. Reality: 2 dedicated AI engineers at US$400-600k/year fully loaded, plus 15-25% of build cost annually in maintenance, plus infrastructure.</t>
  </si>
  <si>
    <t>A quoting or status-reply prototype in a quarter. Getting from prototype to production - evals, guardrails, retries, HITL, observability, tenant security - is where the other 80% of the cost lives.</t>
  </si>
  <si>
    <t>The base rates are brutal: RAND puts AI project failure at 80% (2,400+ initiatives); MIT's NANDA study found 95% of GenAI pilots deliver no P&amp;L impact; the average failed project burns ~US$340k. A mid-market forwarder has no ML platform team to beat those odds - and the engineers who could are being hired by the vendors on the Competitor master tab.</t>
  </si>
  <si>
    <t>The strongest ammunition in the whole analysis: a Launch package (EUR 30k/year, live in 4 weeks) costs under 10% of one in-house engineering year, with the failure risk carried by the vendor. Put the RAND and MIT numbers in the sales deck.</t>
  </si>
  <si>
    <t>READING THIS TAB</t>
  </si>
  <si>
    <t>These platforms compete in the sales cycle, not on the outcome. The damage they do is deal slippage: 'our IT wants to try n8n first' costs a quarter, and Copilot Studio's apparent near-zero price resets the anchor before 5U AI walks in. The counter is never 'the tool is bad' - a technical buyer will defend their tool. The counter is that the demo is 20% of the job, the maintenance is the product, and the failure base rates for in-house AI are public and terrible.</t>
  </si>
  <si>
    <t>Where they genuinely win - concede these: internal knowledge Q&amp;A (Copilot Studio, with M365 data already governed), simple stable single-workflow automations with real in-house IT capacity (n8n), and notification-grade glue (Zapier). None of these is a freight operations Worker; conceding them buys credibility for the argument that the load-lifecycle work is different in kind.</t>
  </si>
  <si>
    <t>The structural point: every horizontal platform prices the TOOL and leaves the customer owning the OUTCOME - integration, exceptions, maintenance, failure risk. 5U AI prices the outcome. That is the entire argument for a five-figure ACV against a US$200/month credit pack, and it is also why the section-12 recommendation to ramp fees against automation rate matters: it makes the outcome pricing visible in the contract itself.</t>
  </si>
  <si>
    <t>Sources</t>
  </si>
  <si>
    <t>All accessed 30 July 2026.</t>
  </si>
  <si>
    <t>Subject</t>
  </si>
  <si>
    <t>URL</t>
  </si>
  <si>
    <t>5U AI - product &amp; FAQ</t>
  </si>
  <si>
    <t>5u.ai homepage and product page</t>
  </si>
  <si>
    <t>https://5u.ai/</t>
  </si>
  <si>
    <t>5U AI - commercial terms</t>
  </si>
  <si>
    <t>5U AI Terms &amp; Conditions</t>
  </si>
  <si>
    <t>https://5u.ai/legal/terms-conditions</t>
  </si>
  <si>
    <t>5U AI - tech stack</t>
  </si>
  <si>
    <t>5U AI Data Processing Agreement</t>
  </si>
  <si>
    <t>https://5u.ai/legal/data-processing-agreement</t>
  </si>
  <si>
    <t>5U AI - traction &amp; ICP</t>
  </si>
  <si>
    <t>5U AI careers (Dover), Founding GTM and Founding Ops specs</t>
  </si>
  <si>
    <t>https://app.dover.com/jobs/5u-ai</t>
  </si>
  <si>
    <t>5U AI - funding</t>
  </si>
  <si>
    <t>Tech.eu</t>
  </si>
  <si>
    <t>https://tech.eu/2026/07/28/5u-ai-lands-32m-pre-seed-for-ai-freight-workforce-platform/</t>
  </si>
  <si>
    <t>5U AI - founders &amp; delivery</t>
  </si>
  <si>
    <t>CargoForwarder Global</t>
  </si>
  <si>
    <t>https://cargoforwarder.eu/2026/07/28/5u-ai-from-football-to-agentic-ai-freight-start-up/</t>
  </si>
  <si>
    <t>Nexcade - funding &amp; customers</t>
  </si>
  <si>
    <t>Splash247</t>
  </si>
  <si>
    <t>https://splash247.com/nexcade-raises-6m-to-automate-freight-forwarding-with-ai/</t>
  </si>
  <si>
    <t>Nexcade - seed round</t>
  </si>
  <si>
    <t>Nexcade newsroom</t>
  </si>
  <si>
    <t>https://nexcade.ai/news/seed-round/</t>
  </si>
  <si>
    <t>Cargofy - Series A, ARR, customers</t>
  </si>
  <si>
    <t>EU-Startups</t>
  </si>
  <si>
    <t>https://www.eu-startups.com/2026/06/cargofy-raises-e9-5-million-series-a-to-deploy-ai-digital-workers-across-freight-operations/</t>
  </si>
  <si>
    <t>Cargofy - round structure</t>
  </si>
  <si>
    <t>Vestbee</t>
  </si>
  <si>
    <t>https://www.vestbee.com/insights/articles/cargofy-lands-11-m</t>
  </si>
  <si>
    <t>Raft - Series B</t>
  </si>
  <si>
    <t>Raft press release</t>
  </si>
  <si>
    <t>https://www.raft.ai/resources/press-releases/raft-raises-30m-in-series-b-funding-to-transform-global-supply-chain-execution-with-ai</t>
  </si>
  <si>
    <t>Raft - customers &amp; scale</t>
  </si>
  <si>
    <t>Tracxn company profile</t>
  </si>
  <si>
    <t>https://tracxn.com/d/companies/raft/</t>
  </si>
  <si>
    <t>HappyRobot - Series B</t>
  </si>
  <si>
    <t>https://www.happyrobot.ai/blog/series-b-announcement</t>
  </si>
  <si>
    <t>HappyRobot - per-action pricing</t>
  </si>
  <si>
    <t>HappyRobot pricing hub</t>
  </si>
  <si>
    <t>https://www.happyrobot.ai/hub/vapi-ai-pricing</t>
  </si>
  <si>
    <t>Augment - $85m Series A</t>
  </si>
  <si>
    <t>BusinessWire</t>
  </si>
  <si>
    <t>https://www.businesswire.com/news/home/20250904472410/en/Augment-Raises-$85M-Series-A-to-Supercharge-Augie-The-AI-Teammate-for-Logistics</t>
  </si>
  <si>
    <t>Vooma - funding &amp; products</t>
  </si>
  <si>
    <t>https://www.vooma.com/resources/new-funding-and-products-launch</t>
  </si>
  <si>
    <t>Vooma - competitive set</t>
  </si>
  <si>
    <t>Vooma comparison pages</t>
  </si>
  <si>
    <t>https://pages.vooma.com/compare</t>
  </si>
  <si>
    <t>FleetWorks - $17m</t>
  </si>
  <si>
    <t>FreightCaviar</t>
  </si>
  <si>
    <t>https://www.freightcaviar.com/fleetworks-raises-17m-for-an-ai-dispatcher-that-never-sleeps/</t>
  </si>
  <si>
    <t>Drumkit - product &amp; funding</t>
  </si>
  <si>
    <t>https://www.drumkit.ai/</t>
  </si>
  <si>
    <t>Expedock - Series A</t>
  </si>
  <si>
    <t>PR Newswire</t>
  </si>
  <si>
    <t>https://www.prnewswire.com/news-releases/expedock-raises-13-5m-series-a-led-by-insight-partners-to-solve-and-accelerate-the-global-supply-chain-301601828.html</t>
  </si>
  <si>
    <t>Wisor - $8m seed</t>
  </si>
  <si>
    <t>https://www.businesswire.com/news/home/20230207005326/en/</t>
  </si>
  <si>
    <t>Sedna - scale &amp; customers</t>
  </si>
  <si>
    <t>https://sedna.com/logistics-communication-platform</t>
  </si>
  <si>
    <t>Levity - logistics product</t>
  </si>
  <si>
    <t>https://levity.ai/logistics</t>
  </si>
  <si>
    <t>Quotiss - published pricing</t>
  </si>
  <si>
    <t>Quotiss pricing page</t>
  </si>
  <si>
    <t>https://quotiss.com/pricing/</t>
  </si>
  <si>
    <t>Freightos Terminal - published pricing</t>
  </si>
  <si>
    <t>Capterra</t>
  </si>
  <si>
    <t>https://www.capterra.com/p/155657/Freightos/</t>
  </si>
  <si>
    <t>Vendor landscape - quoting</t>
  </si>
  <si>
    <t>FreightMynd, best AI freight quoting software 2026</t>
  </si>
  <si>
    <t>https://freightmynd.com/blog/best-ai-freight-quoting-software-2026/</t>
  </si>
  <si>
    <t>Vendor landscape - 14 tools</t>
  </si>
  <si>
    <t>FreightMynd, best AI tools for freight forwarders 2026</t>
  </si>
  <si>
    <t>https://freightmynd.com/blog/best-ai-tools-freight-forwarders-2026/</t>
  </si>
  <si>
    <t>Reform - claimed volumes</t>
  </si>
  <si>
    <t>ReformHQ</t>
  </si>
  <si>
    <t>https://www.reformhq.com/</t>
  </si>
  <si>
    <t>Willidrop - launch &amp; funding</t>
  </si>
  <si>
    <t>Startbase</t>
  </si>
  <si>
    <t>https://www.startbase.com/news/willidrop-startet-offiziell-und-sichert-sich-finanzierung-fuer-ki-in-der-fahrzeuglogistik</t>
  </si>
  <si>
    <t>Digicust - EUR 2.3m</t>
  </si>
  <si>
    <t>Tech Startups</t>
  </si>
  <si>
    <t>https://techstartups.com/2025/12/18/austrian-ai-startup-digicust-raises-e2-3m-to-automate-customs-clearance-across-europe-using-ai/</t>
  </si>
  <si>
    <t>AI agent pricing models</t>
  </si>
  <si>
    <t>Rapid Claw, per-seat vs per-task 2026</t>
  </si>
  <si>
    <t>https://rapidclaw.dev/blog/ai-agent-pricing-models-compared</t>
  </si>
  <si>
    <t>TMS price bands</t>
  </si>
  <si>
    <t>GoFreight, best TMS for small business 2026</t>
  </si>
  <si>
    <t>https://gofreight.com/blog/best-tms-small-business</t>
  </si>
  <si>
    <t>CloneOps / Chain partnership</t>
  </si>
  <si>
    <t>CloneOps</t>
  </si>
  <si>
    <t>https://www.cloneops.ai/chain-cloneops</t>
  </si>
  <si>
    <t>Market sizing - EU companies and staff</t>
  </si>
  <si>
    <t>https://www.clecat.org/organisation/objectives</t>
  </si>
  <si>
    <t>Market sizing - Germany sector data</t>
  </si>
  <si>
    <t>https://www.dslv.org/de/die-branche</t>
  </si>
  <si>
    <t>Market sizing - UK membership base</t>
  </si>
  <si>
    <t>BIFA</t>
  </si>
  <si>
    <t>https://bifa.org/</t>
  </si>
  <si>
    <t>Market sizing - US businesses and employment</t>
  </si>
  <si>
    <t>https://www.ibisworld.com/united-states/market-size/freight-forwarding-brokerages-agencies/1209/</t>
  </si>
  <si>
    <t>Market sizing - US employer businesses</t>
  </si>
  <si>
    <t>US Census via IBISWorld classification, NAICS 488510</t>
  </si>
  <si>
    <t>https://www.ibisworld.com/classifications/naics/488510/freight-transportation-arrangement/</t>
  </si>
  <si>
    <t>Market sizing - Europe market value</t>
  </si>
  <si>
    <t>Grand View Research</t>
  </si>
  <si>
    <t>https://www.grandviewresearch.com/horizon/outlook/freight-forwarding-market/europe</t>
  </si>
  <si>
    <t>Market sizing - EU enterprise size distribution</t>
  </si>
  <si>
    <t>Eurostat, businesses in transportation and storage</t>
  </si>
  <si>
    <t>https://ec.europa.eu/eurostat/statistics-explained/index.php?title=Businesses_in_the_transportation_and_storage_sector</t>
  </si>
  <si>
    <t>GTM - cargo.one AI OS and Cargofive acquisition</t>
  </si>
  <si>
    <t>cargo.one press</t>
  </si>
  <si>
    <t>https://www.cargo.one/press/cargofive-acquisition-ai-os-multimodal-launch</t>
  </si>
  <si>
    <t>GTM - cargo.one forwarder base</t>
  </si>
  <si>
    <t>https://www.cargo.one/</t>
  </si>
  <si>
    <t>GTM - Levity published pricing</t>
  </si>
  <si>
    <t>GetApp</t>
  </si>
  <si>
    <t>https://www.getapp.com/operations-management-software/a/levity-1/pricing/</t>
  </si>
  <si>
    <t>GTM - Vooma named customers</t>
  </si>
  <si>
    <t>Index Ventures</t>
  </si>
  <si>
    <t>https://www.indexventures.com/perspectives/vooma-secures-166-million-to-build-an-ai-powered-agent-for-the-1t-trucking-industry/</t>
  </si>
  <si>
    <t>GTM - HappyRobot forward-deployed model</t>
  </si>
  <si>
    <t>Microsoft for Startups</t>
  </si>
  <si>
    <t>https://www.microsoft.com/en-us/startups/blog/happyrobot-building-the-ai-operating-system-for-the-real-economy/</t>
  </si>
  <si>
    <t>GTM - Raft partner channel</t>
  </si>
  <si>
    <t>AJOT, Raft and PayCargo partnership</t>
  </si>
  <si>
    <t>https://www.ajot.com/news/raft-partners-with-paycargo-to-deliver-industry-leading-payment-process-for-freight-forwarders</t>
  </si>
  <si>
    <t>GTM - Nexcade customers and scope</t>
  </si>
  <si>
    <t>GTM - Augment ICP and hiring plan</t>
  </si>
  <si>
    <t>GTM - Reform reach and case study</t>
  </si>
  <si>
    <t>GTM - Cargofy model and scale</t>
  </si>
  <si>
    <t>TechFundingNews</t>
  </si>
  <si>
    <t>https://techfundingnews.com/intercom-co-founder-backs-11m-round-to-replace-freight-dispatchers-with-ai-workers/</t>
  </si>
  <si>
    <t>Whitespace - EU Customs Reform 2026</t>
  </si>
  <si>
    <t>XTRAS</t>
  </si>
  <si>
    <t>https://xtras-log.com/eu-customs-reform-2026-digital-clearance-as-a-strategic-opportunity-for-freight-forwarders/</t>
  </si>
  <si>
    <t>Horizontal - Copilot Studio credits and pricing</t>
  </si>
  <si>
    <t>CloudZero</t>
  </si>
  <si>
    <t>https://www.cloudzero.com/blog/copilot-studio-pricing/</t>
  </si>
  <si>
    <t>Horizontal - Copilot Studio official pricing</t>
  </si>
  <si>
    <t>Microsoft</t>
  </si>
  <si>
    <t>https://www.microsoft.com/en-us/microsoft-365-copilot/pricing/copilot-studio</t>
  </si>
  <si>
    <t>Horizontal - n8n plans and self-hosting</t>
  </si>
  <si>
    <t>Northflank guide</t>
  </si>
  <si>
    <t>https://northflank.com/blog/how-to-self-host-n8n-setup-architecture-and-pricing-guide</t>
  </si>
  <si>
    <t>Horizontal - Zapier plans and agent add-on</t>
  </si>
  <si>
    <t>No Code MBA</t>
  </si>
  <si>
    <t>https://www.nocode.mba/articles/zapier-pricing-2026</t>
  </si>
  <si>
    <t>Horizontal - UiPath agentic pricing frameworks</t>
  </si>
  <si>
    <t>Monetizely</t>
  </si>
  <si>
    <t>https://www.getmonetizely.com/articles/what-is-uipaths-ai-agent-pricing-for-process-automation-a-complete-breakdown</t>
  </si>
  <si>
    <t>Horizontal - build-vs-buy failure rates (RAND, MIT NANDA)</t>
  </si>
  <si>
    <t>kapa.ai build-vs-buy iceberg</t>
  </si>
  <si>
    <t>https://www.kapa.ai/blog/build-vs-buy-ai-assistant-iceberg</t>
  </si>
  <si>
    <t>Horizontal - in-house build cost benchmarks</t>
  </si>
  <si>
    <t>Fin.ai build vs buy</t>
  </si>
  <si>
    <t>https://fin.ai/learn/build-vs-buy-ai-customer-service-agent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</si>
</sst>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x"/>
    <numFmt numFmtId="166" formatCode="0.0%"/>
    <numFmt numFmtId="167" formatCode="#,##0.0"/>
    <numFmt numFmtId="168" formatCode="0.0&quot;x&quot;"/>
  </numFmts>
  <fonts count="39" x14ac:knownFonts="1">
    <font>
      <sz val="11"/>
      <color theme="1"/>
      <name val="Calibri"/>
      <family val="2"/>
      <charset val="1"/>
    </font>
    <font>
      <b/>
      <sz val="16"/>
      <color rgb="FF1F3A5F"/>
      <name val="Arial"/>
      <family val="2"/>
    </font>
    <font>
      <i/>
      <sz val="9"/>
      <color rgb="FF5A5A5A"/>
      <name val="Arial"/>
      <family val="2"/>
    </font>
    <font>
      <b/>
      <sz val="10"/>
      <color rgb="FF1F3A5F"/>
      <name val="Arial"/>
      <family val="2"/>
    </font>
    <font>
      <sz val="10"/>
      <name val="Arial"/>
      <family val="2"/>
    </font>
    <font>
      <b/>
      <sz val="10"/>
      <name val="Arial"/>
      <family val="2"/>
    </font>
    <font>
      <b/>
      <sz val="10"/>
      <color rgb="FFFFFFFF"/>
      <name val="Arial"/>
      <family val="2"/>
    </font>
    <font>
      <b/>
      <sz val="9"/>
      <name val="Arial"/>
      <family val="2"/>
    </font>
    <font>
      <sz val="9"/>
      <name val="Arial"/>
      <family val="2"/>
    </font>
    <font>
      <b/>
      <sz val="9"/>
      <color rgb="FF1F3A5F"/>
      <name val="Arial"/>
      <family val="2"/>
    </font>
    <font>
      <i/>
      <sz val="8"/>
      <color rgb="FF5A5A5A"/>
      <name val="Arial"/>
      <family val="2"/>
    </font>
    <font>
      <sz val="9"/>
      <color rgb="FF000000"/>
      <name val="Arial"/>
      <family val="2"/>
    </font>
    <font>
      <sz val="9"/>
      <color rgb="FF0000FF"/>
      <name val="Arial"/>
      <family val="2"/>
    </font>
    <font>
      <b/>
      <sz val="11"/>
      <color rgb="FF1F3A5F"/>
      <name val="Arial"/>
      <family val="2"/>
    </font>
    <font>
      <b/>
      <sz val="9"/>
      <color rgb="FFFFFFFF"/>
      <name val="Arial"/>
      <family val="2"/>
    </font>
    <font>
      <b/>
      <sz val="9"/>
      <color rgb="FF000000"/>
      <name val="Arial"/>
      <family val="2"/>
    </font>
    <font>
      <b/>
      <sz val="9"/>
      <color rgb="FF0000FF"/>
      <name val="Arial"/>
      <family val="2"/>
    </font>
    <font>
      <sz val="9"/>
      <color rgb="FF1155CC"/>
      <name val="Arial"/>
      <family val="2"/>
    </font>
    <font>
      <b/>
      <sz val="16"/>
      <color rgb="FF1F3A5F"/>
      <name val="Arial"/>
      <family val="2"/>
    </font>
    <font>
      <i/>
      <sz val="9"/>
      <color rgb="FF5A5A5A"/>
      <name val="Arial"/>
      <family val="2"/>
    </font>
    <font>
      <b/>
      <sz val="9"/>
      <color rgb="FFFFFFFF"/>
      <name val="Arial"/>
      <family val="2"/>
    </font>
    <font>
      <b/>
      <sz val="9"/>
      <name val="Arial"/>
      <family val="2"/>
    </font>
    <font>
      <sz val="9"/>
      <name val="Arial"/>
      <family val="2"/>
    </font>
    <font>
      <b/>
      <sz val="11"/>
      <color rgb="FF1F3A5F"/>
      <name val="Arial"/>
      <family val="2"/>
    </font>
    <font>
      <sz val="9"/>
      <color rgb="FF000000"/>
      <name val="Arial"/>
      <family val="2"/>
    </font>
    <font>
      <sz val="9"/>
      <color rgb="FF1155CC"/>
      <name val="Arial"/>
      <family val="2"/>
    </font>
    <font>
      <b/>
      <sz val="16"/>
      <color rgb="FF1F3A5F"/>
      <name val="Arial"/>
      <family val="2"/>
    </font>
    <font>
      <i/>
      <sz val="9"/>
      <color rgb="FF5A5A5A"/>
      <name val="Arial"/>
      <family val="2"/>
    </font>
    <font>
      <b/>
      <sz val="11"/>
      <color rgb="FF1F3A5F"/>
      <name val="Arial"/>
      <family val="2"/>
    </font>
    <font>
      <b/>
      <sz val="9"/>
      <color rgb="FFFFFFFF"/>
      <name val="Arial"/>
      <family val="2"/>
    </font>
    <font>
      <sz val="9"/>
      <color rgb="FF000000"/>
      <name val="Arial"/>
      <family val="2"/>
    </font>
    <font>
      <sz val="9"/>
      <color rgb="FF0000FF"/>
      <name val="Arial"/>
      <family val="2"/>
    </font>
    <font>
      <b/>
      <sz val="9"/>
      <color rgb="FF000000"/>
      <name val="Arial"/>
      <family val="2"/>
    </font>
    <font>
      <b/>
      <sz val="16"/>
      <color rgb="FF1F3A5F"/>
      <name val="Arial"/>
      <family val="2"/>
    </font>
    <font>
      <i/>
      <sz val="9"/>
      <color rgb="FF5A5A5A"/>
      <name val="Arial"/>
      <family val="2"/>
    </font>
    <font>
      <b/>
      <sz val="9"/>
      <color rgb="FFFFFFFF"/>
      <name val="Arial"/>
      <family val="2"/>
    </font>
    <font>
      <b/>
      <sz val="11"/>
      <color rgb="FF1F3A5F"/>
      <name val="Arial"/>
      <family val="2"/>
    </font>
    <font>
      <sz val="9"/>
      <color rgb="FF000000"/>
      <name val="Arial"/>
      <family val="2"/>
    </font>
    <font>
      <sz val="9"/>
      <color rgb="FF1155CC"/>
      <name val="Arial"/>
      <family val="2"/>
    </font>
  </fonts>
  <fills count="30">
    <fill>
      <patternFill patternType="none"/>
    </fill>
    <fill>
      <patternFill patternType="gray125"/>
    </fill>
    <fill>
      <patternFill patternType="solid">
        <fgColor rgb="FF1F3A5F"/>
        <bgColor rgb="FF333333"/>
      </patternFill>
    </fill>
    <fill>
      <patternFill patternType="solid">
        <fgColor rgb="FFFFF4CC"/>
        <bgColor rgb="FFFFF2CC"/>
      </patternFill>
    </fill>
    <fill>
      <patternFill patternType="solid">
        <fgColor rgb="FFFCE8CD"/>
        <bgColor rgb="FFFFF2CC"/>
      </patternFill>
    </fill>
    <fill>
      <patternFill patternType="solid">
        <fgColor rgb="FFE8F0F8"/>
        <bgColor rgb="FFF4F4F4"/>
      </patternFill>
    </fill>
    <fill>
      <patternFill patternType="solid">
        <fgColor rgb="FFD8EAD3"/>
        <bgColor rgb="FFEDEAE4"/>
      </patternFill>
    </fill>
    <fill>
      <patternFill patternType="solid">
        <fgColor rgb="FFFFFFFF"/>
        <bgColor rgb="FFF4F4F4"/>
      </patternFill>
    </fill>
    <fill>
      <patternFill patternType="solid">
        <fgColor rgb="FFF4F4F4"/>
        <bgColor rgb="FFE8F0F8"/>
      </patternFill>
    </fill>
    <fill>
      <patternFill patternType="solid">
        <fgColor rgb="FFF4C7C3"/>
        <bgColor rgb="FFD0CCC5"/>
      </patternFill>
    </fill>
    <fill>
      <patternFill patternType="solid">
        <fgColor rgb="FFFFF2CC"/>
        <bgColor rgb="FFFFF4CC"/>
      </patternFill>
    </fill>
    <fill>
      <patternFill patternType="solid">
        <fgColor rgb="FFD9D2E9"/>
        <bgColor rgb="FFD0CCC5"/>
      </patternFill>
    </fill>
    <fill>
      <patternFill patternType="solid">
        <fgColor rgb="FFFFFF00"/>
        <bgColor rgb="FFFFFF00"/>
      </patternFill>
    </fill>
    <fill>
      <patternFill patternType="solid">
        <fgColor rgb="FFEDEAE4"/>
        <bgColor rgb="FFE8F0F8"/>
      </patternFill>
    </fill>
    <fill>
      <patternFill patternType="solid">
        <fgColor rgb="FF1F3A5F"/>
      </patternFill>
    </fill>
    <fill>
      <patternFill patternType="solid">
        <fgColor rgb="FFEDEAE4"/>
      </patternFill>
    </fill>
    <fill>
      <patternFill patternType="solid">
        <fgColor rgb="FFD8EAD3"/>
      </patternFill>
    </fill>
    <fill>
      <patternFill patternType="solid">
        <fgColor rgb="FFFCE8CD"/>
      </patternFill>
    </fill>
    <fill>
      <patternFill patternType="solid">
        <fgColor rgb="FFEDEAE4"/>
      </patternFill>
    </fill>
    <fill>
      <patternFill patternType="solid">
        <fgColor rgb="FF1F3A5F"/>
      </patternFill>
    </fill>
    <fill>
      <patternFill patternType="solid">
        <fgColor rgb="FFFFFF00"/>
      </patternFill>
    </fill>
    <fill>
      <patternFill patternType="solid">
        <fgColor rgb="FFD8EAD3"/>
      </patternFill>
    </fill>
    <fill>
      <patternFill patternType="solid">
        <fgColor rgb="FFFCE8CD"/>
      </patternFill>
    </fill>
    <fill>
      <patternFill patternType="solid">
        <fgColor rgb="FF1F3A5F"/>
      </patternFill>
    </fill>
    <fill>
      <patternFill patternType="solid">
        <fgColor rgb="FFF4C7C3"/>
      </patternFill>
    </fill>
    <fill>
      <patternFill patternType="solid">
        <fgColor rgb="FFFCE8CD"/>
      </patternFill>
    </fill>
    <fill>
      <patternFill patternType="solid">
        <fgColor rgb="FFF4F4F4"/>
      </patternFill>
    </fill>
    <fill>
      <patternFill patternType="solid">
        <fgColor rgb="FFFFF2CC"/>
      </patternFill>
    </fill>
    <fill>
      <patternFill patternType="solid">
        <fgColor rgb="FFEDEAE4"/>
      </patternFill>
    </fill>
    <fill>
      <patternFill patternType="solid">
        <fgColor rgb="FFD8EAD3"/>
      </patternFill>
    </fill>
  </fills>
  <borders count="7">
    <border>
      <left/>
      <right/>
      <top/>
      <bottom/>
      <diagonal/>
    </border>
    <border>
      <left style="thin">
        <color rgb="FFD0CCC5"/>
      </left>
      <right style="thin">
        <color rgb="FFD0CCC5"/>
      </right>
      <top style="thin">
        <color rgb="FFD0CCC5"/>
      </top>
      <bottom style="thin">
        <color rgb="FFD0CCC5"/>
      </bottom>
      <diagonal/>
    </border>
    <border>
      <left style="thin">
        <color rgb="FFD0CCC5"/>
      </left>
      <right style="thin">
        <color rgb="FFD0CCC5"/>
      </right>
      <top style="thin">
        <color rgb="FFD0CCC5"/>
      </top>
      <bottom style="thin">
        <color rgb="FFD0CCC5"/>
      </bottom>
      <diagonal/>
    </border>
    <border>
      <left/>
      <right/>
      <top style="thin">
        <color rgb="FFD0CCC5"/>
      </top>
      <bottom style="thin">
        <color rgb="FFD0CCC5"/>
      </bottom>
      <diagonal/>
    </border>
    <border>
      <left/>
      <right style="thin">
        <color rgb="FFD0CCC5"/>
      </right>
      <top style="thin">
        <color rgb="FFD0CCC5"/>
      </top>
      <bottom style="thin">
        <color rgb="FFD0CCC5"/>
      </bottom>
      <diagonal/>
    </border>
    <border>
      <left style="thin">
        <color rgb="FFD0CCC5"/>
      </left>
      <right style="thin">
        <color rgb="FFD0CCC5"/>
      </right>
      <top style="thin">
        <color rgb="FFD0CCC5"/>
      </top>
      <bottom style="thin">
        <color rgb="FFD0CCC5"/>
      </bottom>
      <diagonal/>
    </border>
    <border>
      <left style="thin">
        <color rgb="FFD0CCC5"/>
      </left>
      <right style="thin">
        <color rgb="FFD0CCC5"/>
      </right>
      <top style="thin">
        <color rgb="FFD0CCC5"/>
      </top>
      <bottom style="thin">
        <color rgb="FFD0CCC5"/>
      </bottom>
      <diagonal/>
    </border>
  </borders>
  <cellStyleXfs count="1">
    <xf numFmtId="0" fontId="0" fillId="0" borderId="0"/>
  </cellStyleXfs>
  <cellXfs count="13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3" fillId="0" borderId="0" xfId="0" applyFont="1"/>
    <xf numFmtId="0" fontId="4" fillId="0" borderId="0" xfId="0" applyFont="1"/>
    <xf numFmtId="0" fontId="5" fillId="0" borderId="0" xfId="0" applyFont="1"/>
    <xf numFmtId="0" fontId="6" fillId="2" borderId="1" xfId="0" applyFont="1" applyFill="1" applyBorder="1" applyAlignment="1">
      <alignment vertical="center" wrapText="1"/>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8" fillId="0" borderId="1" xfId="0" applyFont="1" applyBorder="1" applyAlignment="1">
      <alignment vertical="top" wrapText="1"/>
    </xf>
    <xf numFmtId="0" fontId="8" fillId="4" borderId="1"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2" borderId="1" xfId="0" applyFont="1" applyFill="1" applyBorder="1" applyAlignment="1">
      <alignment horizontal="center" textRotation="90" wrapText="1"/>
    </xf>
    <xf numFmtId="0" fontId="7" fillId="3" borderId="1" xfId="0" applyFont="1" applyFill="1" applyBorder="1" applyAlignment="1">
      <alignment vertical="center" wrapText="1"/>
    </xf>
    <xf numFmtId="0" fontId="8" fillId="3"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0" fontId="8" fillId="0" borderId="1" xfId="0" applyFont="1" applyBorder="1" applyAlignment="1">
      <alignment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164" fontId="7" fillId="0" borderId="1" xfId="0" applyNumberFormat="1" applyFont="1" applyBorder="1" applyAlignment="1">
      <alignment horizontal="center" vertical="center"/>
    </xf>
    <xf numFmtId="0" fontId="8" fillId="4" borderId="1" xfId="0" applyFont="1" applyFill="1" applyBorder="1" applyAlignment="1">
      <alignment horizontal="center" vertical="center"/>
    </xf>
    <xf numFmtId="0" fontId="9" fillId="0" borderId="0" xfId="0" applyFont="1"/>
    <xf numFmtId="0" fontId="8" fillId="6" borderId="1" xfId="0" applyFont="1" applyFill="1" applyBorder="1"/>
    <xf numFmtId="0" fontId="8" fillId="4" borderId="1" xfId="0" applyFont="1" applyFill="1" applyBorder="1"/>
    <xf numFmtId="0" fontId="8" fillId="8" borderId="1" xfId="0" applyFont="1" applyFill="1" applyBorder="1"/>
    <xf numFmtId="0" fontId="8" fillId="7" borderId="1" xfId="0" applyFont="1" applyFill="1" applyBorder="1"/>
    <xf numFmtId="0" fontId="10" fillId="0" borderId="0" xfId="0" applyFont="1"/>
    <xf numFmtId="0" fontId="8" fillId="6" borderId="1" xfId="0" applyFont="1" applyFill="1" applyBorder="1" applyAlignment="1">
      <alignment vertical="top" wrapText="1"/>
    </xf>
    <xf numFmtId="0" fontId="7" fillId="0" borderId="1" xfId="0" applyFont="1" applyBorder="1" applyAlignment="1">
      <alignment vertical="top" wrapText="1"/>
    </xf>
    <xf numFmtId="0" fontId="7" fillId="9"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1" fillId="0" borderId="1" xfId="0" applyFont="1" applyBorder="1" applyAlignment="1">
      <alignment vertical="top" wrapText="1"/>
    </xf>
    <xf numFmtId="4" fontId="12" fillId="0" borderId="1" xfId="0" applyNumberFormat="1" applyFont="1" applyBorder="1" applyAlignment="1">
      <alignment vertical="top" wrapText="1"/>
    </xf>
    <xf numFmtId="3" fontId="12" fillId="12" borderId="1" xfId="0" applyNumberFormat="1" applyFont="1" applyFill="1" applyBorder="1" applyAlignment="1">
      <alignment vertical="top" wrapText="1"/>
    </xf>
    <xf numFmtId="0" fontId="0" fillId="0" borderId="1" xfId="0" applyBorder="1" applyAlignment="1">
      <alignment vertical="top" wrapText="1"/>
    </xf>
    <xf numFmtId="0" fontId="10" fillId="0" borderId="1" xfId="0" applyFont="1" applyBorder="1" applyAlignment="1">
      <alignment vertical="top" wrapText="1"/>
    </xf>
    <xf numFmtId="3" fontId="7" fillId="0" borderId="1" xfId="0" applyNumberFormat="1" applyFont="1" applyBorder="1" applyAlignment="1">
      <alignment vertical="top" wrapText="1"/>
    </xf>
    <xf numFmtId="0" fontId="13" fillId="13" borderId="1" xfId="0" applyFont="1" applyFill="1" applyBorder="1" applyAlignment="1">
      <alignment vertical="center"/>
    </xf>
    <xf numFmtId="0" fontId="0" fillId="13" borderId="1" xfId="0" applyFill="1" applyBorder="1"/>
    <xf numFmtId="0" fontId="14" fillId="2" borderId="1" xfId="0" applyFont="1" applyFill="1" applyBorder="1" applyAlignment="1">
      <alignment vertical="center" wrapText="1"/>
    </xf>
    <xf numFmtId="0" fontId="11" fillId="0" borderId="1" xfId="0" applyFont="1" applyBorder="1" applyAlignment="1">
      <alignment horizontal="left" vertical="top" wrapText="1"/>
    </xf>
    <xf numFmtId="3" fontId="12" fillId="12" borderId="1" xfId="0" applyNumberFormat="1" applyFont="1" applyFill="1" applyBorder="1" applyAlignment="1">
      <alignment horizontal="right" vertical="top" wrapText="1"/>
    </xf>
    <xf numFmtId="0" fontId="12" fillId="12" borderId="1" xfId="0" applyFont="1" applyFill="1" applyBorder="1" applyAlignment="1">
      <alignment horizontal="left" vertical="top" wrapText="1"/>
    </xf>
    <xf numFmtId="9" fontId="12" fillId="12" borderId="1" xfId="0" applyNumberFormat="1" applyFont="1" applyFill="1" applyBorder="1" applyAlignment="1">
      <alignment horizontal="left" vertical="top" wrapText="1"/>
    </xf>
    <xf numFmtId="0" fontId="15" fillId="6" borderId="1" xfId="0" applyFont="1" applyFill="1" applyBorder="1" applyAlignment="1">
      <alignment horizontal="left" vertical="top" wrapText="1"/>
    </xf>
    <xf numFmtId="3" fontId="15" fillId="6" borderId="1" xfId="0" applyNumberFormat="1" applyFont="1" applyFill="1" applyBorder="1" applyAlignment="1">
      <alignment horizontal="right" vertical="top" wrapText="1"/>
    </xf>
    <xf numFmtId="0" fontId="10" fillId="0" borderId="0" xfId="0" applyFont="1" applyAlignment="1">
      <alignment vertical="top" wrapText="1"/>
    </xf>
    <xf numFmtId="4" fontId="12" fillId="12" borderId="1" xfId="0" applyNumberFormat="1" applyFont="1" applyFill="1" applyBorder="1" applyAlignment="1">
      <alignment horizontal="left" vertical="top" wrapText="1"/>
    </xf>
    <xf numFmtId="0" fontId="15" fillId="4" borderId="1" xfId="0" applyFont="1" applyFill="1" applyBorder="1" applyAlignment="1">
      <alignment horizontal="left" vertical="top" wrapText="1"/>
    </xf>
    <xf numFmtId="4" fontId="15" fillId="4" borderId="1" xfId="0" applyNumberFormat="1" applyFont="1" applyFill="1" applyBorder="1" applyAlignment="1">
      <alignment horizontal="left" vertical="top" wrapText="1"/>
    </xf>
    <xf numFmtId="0" fontId="15" fillId="0" borderId="1" xfId="0" applyFont="1" applyBorder="1" applyAlignment="1">
      <alignment horizontal="left" vertical="top" wrapText="1"/>
    </xf>
    <xf numFmtId="3" fontId="15" fillId="0" borderId="1" xfId="0" applyNumberFormat="1" applyFont="1" applyBorder="1" applyAlignment="1">
      <alignment horizontal="right" vertical="top" wrapText="1"/>
    </xf>
    <xf numFmtId="3" fontId="11" fillId="0" borderId="1" xfId="0" applyNumberFormat="1" applyFont="1" applyBorder="1" applyAlignment="1">
      <alignment horizontal="right" vertical="top" wrapText="1"/>
    </xf>
    <xf numFmtId="165" fontId="15" fillId="6" borderId="1" xfId="0" applyNumberFormat="1" applyFont="1" applyFill="1" applyBorder="1" applyAlignment="1">
      <alignment horizontal="right" vertical="top"/>
    </xf>
    <xf numFmtId="164" fontId="11" fillId="0" borderId="1" xfId="0" applyNumberFormat="1" applyFont="1" applyBorder="1" applyAlignment="1">
      <alignment horizontal="right" vertical="top"/>
    </xf>
    <xf numFmtId="0" fontId="7" fillId="0" borderId="1" xfId="0" applyFont="1" applyBorder="1" applyAlignment="1">
      <alignment horizontal="left" vertical="top" wrapText="1"/>
    </xf>
    <xf numFmtId="0" fontId="16" fillId="12" borderId="1" xfId="0" applyFont="1" applyFill="1" applyBorder="1" applyAlignment="1">
      <alignment horizontal="left" vertical="top" wrapText="1"/>
    </xf>
    <xf numFmtId="0" fontId="8" fillId="0" borderId="0" xfId="0" applyFont="1" applyAlignment="1">
      <alignment vertical="top" wrapText="1"/>
    </xf>
    <xf numFmtId="0" fontId="11" fillId="5" borderId="1" xfId="0" applyFont="1" applyFill="1" applyBorder="1" applyAlignment="1">
      <alignment horizontal="left" vertical="top" wrapText="1"/>
    </xf>
    <xf numFmtId="3" fontId="11" fillId="5" borderId="1" xfId="0" applyNumberFormat="1" applyFont="1" applyFill="1" applyBorder="1" applyAlignment="1">
      <alignment horizontal="right" vertical="top" wrapText="1"/>
    </xf>
    <xf numFmtId="9" fontId="12" fillId="12" borderId="1" xfId="0" applyNumberFormat="1" applyFont="1" applyFill="1" applyBorder="1" applyAlignment="1">
      <alignment horizontal="right" vertical="top" wrapText="1"/>
    </xf>
    <xf numFmtId="166" fontId="12" fillId="12" borderId="1" xfId="0" applyNumberFormat="1" applyFont="1" applyFill="1" applyBorder="1" applyAlignment="1">
      <alignment horizontal="right" vertical="top" wrapText="1"/>
    </xf>
    <xf numFmtId="9" fontId="11" fillId="0" borderId="1" xfId="0" applyNumberFormat="1" applyFont="1" applyBorder="1" applyAlignment="1">
      <alignment horizontal="right" vertical="top" wrapText="1"/>
    </xf>
    <xf numFmtId="165" fontId="15" fillId="4" borderId="1" xfId="0" applyNumberFormat="1" applyFont="1" applyFill="1" applyBorder="1" applyAlignment="1">
      <alignment horizontal="left" vertical="top" wrapText="1"/>
    </xf>
    <xf numFmtId="0" fontId="11" fillId="6" borderId="1" xfId="0" applyFont="1" applyFill="1" applyBorder="1" applyAlignment="1">
      <alignment horizontal="left" vertical="top" wrapText="1"/>
    </xf>
    <xf numFmtId="3" fontId="11" fillId="6" borderId="1" xfId="0" applyNumberFormat="1" applyFont="1" applyFill="1" applyBorder="1" applyAlignment="1">
      <alignment horizontal="right" vertical="top" wrapText="1"/>
    </xf>
    <xf numFmtId="0" fontId="13" fillId="13" borderId="1" xfId="0" applyFont="1" applyFill="1" applyBorder="1"/>
    <xf numFmtId="0" fontId="0" fillId="0" borderId="1" xfId="0" applyBorder="1"/>
    <xf numFmtId="0" fontId="7" fillId="6" borderId="1" xfId="0" applyFont="1" applyFill="1" applyBorder="1" applyAlignment="1">
      <alignment vertical="top" wrapText="1"/>
    </xf>
    <xf numFmtId="0" fontId="0" fillId="6" borderId="1" xfId="0" applyFill="1" applyBorder="1"/>
    <xf numFmtId="0" fontId="7" fillId="4" borderId="1" xfId="0" applyFont="1" applyFill="1" applyBorder="1" applyAlignment="1">
      <alignment vertical="top" wrapText="1"/>
    </xf>
    <xf numFmtId="0" fontId="0" fillId="4" borderId="1" xfId="0" applyFill="1" applyBorder="1"/>
    <xf numFmtId="0" fontId="17" fillId="0" borderId="1" xfId="0" applyFont="1" applyBorder="1" applyAlignment="1">
      <alignment vertical="top" wrapText="1"/>
    </xf>
    <xf numFmtId="0" fontId="18" fillId="0" borderId="0" xfId="0" applyFont="1"/>
    <xf numFmtId="0" fontId="19" fillId="0" borderId="0" xfId="0" applyFont="1"/>
    <xf numFmtId="0" fontId="20" fillId="14" borderId="2" xfId="0" applyFont="1" applyFill="1" applyBorder="1" applyAlignment="1">
      <alignment vertical="center" wrapText="1"/>
    </xf>
    <xf numFmtId="0" fontId="21" fillId="0" borderId="2" xfId="0" applyFont="1" applyBorder="1" applyAlignment="1">
      <alignment vertical="top" wrapText="1"/>
    </xf>
    <xf numFmtId="0" fontId="22" fillId="0" borderId="2" xfId="0" applyFont="1" applyBorder="1" applyAlignment="1">
      <alignment vertical="top" wrapText="1"/>
    </xf>
    <xf numFmtId="0" fontId="23" fillId="15" borderId="2" xfId="0" applyFont="1" applyFill="1" applyBorder="1"/>
    <xf numFmtId="0" fontId="0" fillId="15" borderId="2" xfId="0" applyFill="1" applyBorder="1"/>
    <xf numFmtId="0" fontId="24" fillId="0" borderId="2" xfId="0" applyFont="1" applyBorder="1" applyAlignment="1">
      <alignment vertical="top" wrapText="1"/>
    </xf>
    <xf numFmtId="0" fontId="25" fillId="0" borderId="2" xfId="0" applyFont="1" applyBorder="1" applyAlignment="1">
      <alignment vertical="top" wrapText="1"/>
    </xf>
    <xf numFmtId="0" fontId="26" fillId="0" borderId="0" xfId="0" applyFont="1"/>
    <xf numFmtId="0" fontId="27" fillId="0" borderId="0" xfId="0" applyFont="1"/>
    <xf numFmtId="0" fontId="28" fillId="18" borderId="5" xfId="0" applyFont="1" applyFill="1" applyBorder="1" applyAlignment="1">
      <alignment vertical="center"/>
    </xf>
    <xf numFmtId="0" fontId="0" fillId="18" borderId="5" xfId="0" applyFill="1" applyBorder="1"/>
    <xf numFmtId="0" fontId="29" fillId="19" borderId="5" xfId="0" applyFont="1" applyFill="1" applyBorder="1" applyAlignment="1">
      <alignment vertical="center" wrapText="1"/>
    </xf>
    <xf numFmtId="0" fontId="30" fillId="0" borderId="5" xfId="0" applyFont="1" applyBorder="1" applyAlignment="1">
      <alignment horizontal="left" vertical="top" wrapText="1"/>
    </xf>
    <xf numFmtId="3" fontId="31" fillId="20" borderId="5" xfId="0" applyNumberFormat="1" applyFont="1" applyFill="1" applyBorder="1" applyAlignment="1">
      <alignment horizontal="right" vertical="top" wrapText="1"/>
    </xf>
    <xf numFmtId="0" fontId="31" fillId="20" borderId="5" xfId="0" applyFont="1" applyFill="1" applyBorder="1" applyAlignment="1">
      <alignment horizontal="left" vertical="top" wrapText="1"/>
    </xf>
    <xf numFmtId="3" fontId="30" fillId="0" borderId="5" xfId="0" applyNumberFormat="1" applyFont="1" applyBorder="1" applyAlignment="1">
      <alignment horizontal="right" vertical="top" wrapText="1"/>
    </xf>
    <xf numFmtId="2" fontId="31" fillId="20" borderId="5" xfId="0" applyNumberFormat="1" applyFont="1" applyFill="1" applyBorder="1" applyAlignment="1">
      <alignment horizontal="left" vertical="top" wrapText="1"/>
    </xf>
    <xf numFmtId="0" fontId="32" fillId="0" borderId="5" xfId="0" applyFont="1" applyBorder="1" applyAlignment="1">
      <alignment horizontal="left" vertical="top" wrapText="1"/>
    </xf>
    <xf numFmtId="3" fontId="32" fillId="0" borderId="5" xfId="0" applyNumberFormat="1" applyFont="1" applyBorder="1" applyAlignment="1">
      <alignment horizontal="right" vertical="top" wrapText="1"/>
    </xf>
    <xf numFmtId="0" fontId="32" fillId="21" borderId="5" xfId="0" applyFont="1" applyFill="1" applyBorder="1" applyAlignment="1">
      <alignment horizontal="left" vertical="top" wrapText="1"/>
    </xf>
    <xf numFmtId="3" fontId="32" fillId="21" borderId="5" xfId="0" applyNumberFormat="1" applyFont="1" applyFill="1" applyBorder="1" applyAlignment="1">
      <alignment horizontal="right" vertical="top" wrapText="1"/>
    </xf>
    <xf numFmtId="9" fontId="32" fillId="21" borderId="5" xfId="0" applyNumberFormat="1" applyFont="1" applyFill="1" applyBorder="1" applyAlignment="1">
      <alignment horizontal="right" vertical="top" wrapText="1"/>
    </xf>
    <xf numFmtId="0" fontId="30" fillId="22" borderId="5" xfId="0" applyFont="1" applyFill="1" applyBorder="1" applyAlignment="1">
      <alignment horizontal="left" vertical="top" wrapText="1"/>
    </xf>
    <xf numFmtId="3" fontId="30" fillId="22" borderId="5" xfId="0" applyNumberFormat="1" applyFont="1" applyFill="1" applyBorder="1" applyAlignment="1">
      <alignment horizontal="right" vertical="top" wrapText="1"/>
    </xf>
    <xf numFmtId="167" fontId="30" fillId="0" borderId="5" xfId="0" applyNumberFormat="1" applyFont="1" applyBorder="1" applyAlignment="1">
      <alignment horizontal="right" vertical="top" wrapText="1"/>
    </xf>
    <xf numFmtId="164" fontId="31" fillId="20" borderId="5" xfId="0" applyNumberFormat="1" applyFont="1" applyFill="1" applyBorder="1" applyAlignment="1">
      <alignment horizontal="left" vertical="top" wrapText="1"/>
    </xf>
    <xf numFmtId="168" fontId="32" fillId="21" borderId="5" xfId="0" applyNumberFormat="1" applyFont="1" applyFill="1" applyBorder="1" applyAlignment="1">
      <alignment horizontal="right" vertical="top" wrapText="1"/>
    </xf>
    <xf numFmtId="0" fontId="30" fillId="21" borderId="5" xfId="0" applyFont="1" applyFill="1" applyBorder="1" applyAlignment="1">
      <alignment horizontal="left" vertical="top" wrapText="1"/>
    </xf>
    <xf numFmtId="167" fontId="30" fillId="21" borderId="5" xfId="0" applyNumberFormat="1" applyFont="1" applyFill="1" applyBorder="1" applyAlignment="1">
      <alignment horizontal="right" vertical="top" wrapText="1"/>
    </xf>
    <xf numFmtId="0" fontId="32" fillId="22" borderId="5" xfId="0" applyFont="1" applyFill="1" applyBorder="1" applyAlignment="1">
      <alignment horizontal="left" vertical="top" wrapText="1"/>
    </xf>
    <xf numFmtId="9" fontId="30" fillId="22" borderId="5" xfId="0" applyNumberFormat="1" applyFont="1" applyFill="1" applyBorder="1" applyAlignment="1">
      <alignment horizontal="right" vertical="top" wrapText="1"/>
    </xf>
    <xf numFmtId="0" fontId="21" fillId="0" borderId="6" xfId="0" applyFont="1" applyBorder="1" applyAlignment="1">
      <alignment vertical="top" wrapText="1"/>
    </xf>
    <xf numFmtId="0" fontId="22" fillId="0" borderId="6" xfId="0" applyFont="1" applyBorder="1" applyAlignment="1">
      <alignment vertical="top" wrapText="1"/>
    </xf>
    <xf numFmtId="0" fontId="21" fillId="24" borderId="6" xfId="0" applyFont="1" applyFill="1" applyBorder="1" applyAlignment="1">
      <alignment horizontal="center" vertical="center" wrapText="1"/>
    </xf>
    <xf numFmtId="0" fontId="33" fillId="0" borderId="0" xfId="0" applyFont="1"/>
    <xf numFmtId="0" fontId="34" fillId="0" borderId="0" xfId="0" applyFont="1"/>
    <xf numFmtId="0" fontId="35" fillId="23" borderId="6" xfId="0" applyFont="1" applyFill="1" applyBorder="1" applyAlignment="1">
      <alignment vertical="center" wrapText="1"/>
    </xf>
    <xf numFmtId="0" fontId="21" fillId="25" borderId="6" xfId="0" applyFont="1" applyFill="1" applyBorder="1" applyAlignment="1">
      <alignment horizontal="center" vertical="center" wrapText="1"/>
    </xf>
    <xf numFmtId="0" fontId="21" fillId="26" borderId="6" xfId="0" applyFont="1" applyFill="1" applyBorder="1" applyAlignment="1">
      <alignment horizontal="center" vertical="center" wrapText="1"/>
    </xf>
    <xf numFmtId="0" fontId="21" fillId="27" borderId="6" xfId="0" applyFont="1" applyFill="1" applyBorder="1" applyAlignment="1">
      <alignment horizontal="center" vertical="center" wrapText="1"/>
    </xf>
    <xf numFmtId="0" fontId="36" fillId="28" borderId="6" xfId="0" applyFont="1" applyFill="1" applyBorder="1"/>
    <xf numFmtId="0" fontId="0" fillId="28" borderId="6" xfId="0" applyFill="1" applyBorder="1"/>
    <xf numFmtId="0" fontId="37" fillId="0" borderId="6" xfId="0" applyFont="1" applyBorder="1" applyAlignment="1">
      <alignment vertical="top" wrapText="1"/>
    </xf>
    <xf numFmtId="0" fontId="38" fillId="0" borderId="6" xfId="0" applyFont="1" applyBorder="1" applyAlignment="1">
      <alignment vertical="top" wrapText="1"/>
    </xf>
    <xf numFmtId="0" fontId="22" fillId="16" borderId="5" xfId="0" applyFont="1" applyFill="1" applyBorder="1" applyAlignment="1">
      <alignment vertical="top" wrapText="1"/>
    </xf>
    <xf numFmtId="0" fontId="0" fillId="0" borderId="3" xfId="0" applyBorder="1"/>
    <xf numFmtId="0" fontId="0" fillId="0" borderId="4" xfId="0" applyBorder="1"/>
    <xf numFmtId="0" fontId="22" fillId="17" borderId="5" xfId="0" applyFont="1" applyFill="1" applyBorder="1" applyAlignment="1">
      <alignment vertical="top" wrapText="1"/>
    </xf>
    <xf numFmtId="0" fontId="22" fillId="22" borderId="5" xfId="0" applyFont="1" applyFill="1" applyBorder="1" applyAlignment="1">
      <alignment vertical="top" wrapText="1"/>
    </xf>
    <xf numFmtId="0" fontId="22" fillId="0" borderId="5" xfId="0" applyFont="1" applyBorder="1" applyAlignment="1">
      <alignment vertical="top" wrapText="1"/>
    </xf>
    <xf numFmtId="0" fontId="22" fillId="21" borderId="5" xfId="0" applyFont="1" applyFill="1" applyBorder="1" applyAlignment="1">
      <alignment vertical="top" wrapText="1"/>
    </xf>
    <xf numFmtId="0" fontId="22" fillId="29" borderId="6" xfId="0" applyFont="1" applyFill="1" applyBorder="1" applyAlignment="1">
      <alignment vertical="top" wrapText="1"/>
    </xf>
    <xf numFmtId="0" fontId="0" fillId="29" borderId="6" xfId="0" applyFill="1" applyBorder="1"/>
    <xf numFmtId="0" fontId="22" fillId="25" borderId="6" xfId="0" applyFont="1" applyFill="1" applyBorder="1" applyAlignment="1">
      <alignment vertical="top" wrapText="1"/>
    </xf>
    <xf numFmtId="0" fontId="0" fillId="25" borderId="6"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CC5"/>
      <rgbColor rgb="FF808080"/>
      <rgbColor rgb="FF9999FF"/>
      <rgbColor rgb="FF993366"/>
      <rgbColor rgb="FFFFF4CC"/>
      <rgbColor rgb="FFE8F0F8"/>
      <rgbColor rgb="FF660066"/>
      <rgbColor rgb="FFFF8080"/>
      <rgbColor rgb="FF1155CC"/>
      <rgbColor rgb="FFD9D2E9"/>
      <rgbColor rgb="FF000080"/>
      <rgbColor rgb="FFFF00FF"/>
      <rgbColor rgb="FFFFFF00"/>
      <rgbColor rgb="FF00FFFF"/>
      <rgbColor rgb="FF800080"/>
      <rgbColor rgb="FF800000"/>
      <rgbColor rgb="FF008080"/>
      <rgbColor rgb="FF0000FF"/>
      <rgbColor rgb="FF00CCFF"/>
      <rgbColor rgb="FFF4F4F4"/>
      <rgbColor rgb="FFD8EAD3"/>
      <rgbColor rgb="FFFFF2CC"/>
      <rgbColor rgb="FFEDEAE4"/>
      <rgbColor rgb="FFFCE8CD"/>
      <rgbColor rgb="FFCC99FF"/>
      <rgbColor rgb="FFF4C7C3"/>
      <rgbColor rgb="FF3366FF"/>
      <rgbColor rgb="FF33CCCC"/>
      <rgbColor rgb="FF99CC00"/>
      <rgbColor rgb="FFFFCC00"/>
      <rgbColor rgb="FFFF9900"/>
      <rgbColor rgb="FFFF6600"/>
      <rgbColor rgb="FF5A5A5A"/>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topLeftCell="A12" zoomScaleNormal="100" workbookViewId="0"/>
  </sheetViews>
  <sheetFormatPr defaultColWidth="8.453125" defaultRowHeight="14.5" x14ac:dyDescent="0.35"/>
  <cols>
    <col min="1" max="1" width="30" customWidth="1"/>
    <col min="2" max="2" width="108" customWidth="1"/>
  </cols>
  <sheetData>
    <row r="1" spans="1:2" ht="21.75" customHeight="1" x14ac:dyDescent="0.4">
      <c r="A1" s="1" t="s">
        <v>0</v>
      </c>
    </row>
    <row r="2" spans="1:2" ht="15" customHeight="1" x14ac:dyDescent="0.35">
      <c r="A2" s="2" t="s">
        <v>1</v>
      </c>
    </row>
    <row r="4" spans="1:2" ht="15" customHeight="1" x14ac:dyDescent="0.35">
      <c r="A4" s="3"/>
      <c r="B4" s="4"/>
    </row>
    <row r="5" spans="1:2" ht="37.5" customHeight="1" x14ac:dyDescent="0.35">
      <c r="A5" s="3" t="s">
        <v>2</v>
      </c>
      <c r="B5" s="4" t="s">
        <v>3</v>
      </c>
    </row>
    <row r="6" spans="1:2" ht="37.5" customHeight="1" x14ac:dyDescent="0.35">
      <c r="A6" s="3" t="s">
        <v>4</v>
      </c>
      <c r="B6" s="4" t="s">
        <v>5</v>
      </c>
    </row>
    <row r="7" spans="1:2" ht="50" customHeight="1" x14ac:dyDescent="0.35">
      <c r="A7" s="3" t="s">
        <v>6</v>
      </c>
      <c r="B7" s="4" t="s">
        <v>7</v>
      </c>
    </row>
    <row r="8" spans="1:2" ht="37.5" customHeight="1" x14ac:dyDescent="0.35">
      <c r="A8" s="3" t="s">
        <v>8</v>
      </c>
      <c r="B8" s="4" t="s">
        <v>9</v>
      </c>
    </row>
    <row r="9" spans="1:2" ht="15" customHeight="1" x14ac:dyDescent="0.35">
      <c r="A9" s="3"/>
      <c r="B9" s="4"/>
    </row>
    <row r="10" spans="1:2" ht="15" customHeight="1" x14ac:dyDescent="0.35">
      <c r="A10" s="3" t="s">
        <v>10</v>
      </c>
      <c r="B10" s="4"/>
    </row>
    <row r="11" spans="1:2" ht="25" customHeight="1" x14ac:dyDescent="0.35">
      <c r="A11" s="3" t="s">
        <v>11</v>
      </c>
      <c r="B11" s="4" t="s">
        <v>12</v>
      </c>
    </row>
    <row r="12" spans="1:2" ht="37.5" customHeight="1" x14ac:dyDescent="0.35">
      <c r="A12" s="3" t="s">
        <v>13</v>
      </c>
      <c r="B12" s="4" t="s">
        <v>14</v>
      </c>
    </row>
    <row r="13" spans="1:2" ht="26" customHeight="1" x14ac:dyDescent="0.35">
      <c r="A13" s="3" t="s">
        <v>15</v>
      </c>
      <c r="B13" s="4" t="s">
        <v>16</v>
      </c>
    </row>
    <row r="14" spans="1:2" ht="26" customHeight="1" x14ac:dyDescent="0.35">
      <c r="A14" s="3" t="s">
        <v>17</v>
      </c>
      <c r="B14" s="4" t="s">
        <v>18</v>
      </c>
    </row>
    <row r="15" spans="1:2" ht="26" customHeight="1" x14ac:dyDescent="0.35">
      <c r="A15" s="3" t="s">
        <v>19</v>
      </c>
      <c r="B15" s="4" t="s">
        <v>20</v>
      </c>
    </row>
    <row r="16" spans="1:2" ht="26" customHeight="1" x14ac:dyDescent="0.35">
      <c r="A16" s="3" t="s">
        <v>21</v>
      </c>
      <c r="B16" s="4" t="s">
        <v>22</v>
      </c>
    </row>
    <row r="18" spans="1:2" ht="15" customHeight="1" x14ac:dyDescent="0.35">
      <c r="A18" s="5" t="s">
        <v>23</v>
      </c>
    </row>
    <row r="19" spans="1:2" ht="15" customHeight="1" x14ac:dyDescent="0.35">
      <c r="A19" s="6" t="s">
        <v>24</v>
      </c>
      <c r="B19" s="6">
        <f>COUNTIF('Competitor master'!$D$4:$D$100,"EU")</f>
        <v>8</v>
      </c>
    </row>
    <row r="20" spans="1:2" ht="15" customHeight="1" x14ac:dyDescent="0.35">
      <c r="A20" s="6" t="s">
        <v>25</v>
      </c>
      <c r="B20" s="6">
        <f>COUNTIF('Competitor master'!$D$4:$D$100,"UK")</f>
        <v>4</v>
      </c>
    </row>
    <row r="21" spans="1:2" ht="15" customHeight="1" x14ac:dyDescent="0.35">
      <c r="A21" s="6" t="s">
        <v>26</v>
      </c>
      <c r="B21" s="6">
        <f>COUNTIF('Competitor master'!$D$4:$D$100,"US")</f>
        <v>12</v>
      </c>
    </row>
    <row r="22" spans="1:2" ht="15" customHeight="1" x14ac:dyDescent="0.35">
      <c r="A22" s="6" t="s">
        <v>27</v>
      </c>
      <c r="B22" s="6">
        <f>COUNTIF('Competitor master'!$D$4:$D$100,"Other*")</f>
        <v>3</v>
      </c>
    </row>
    <row r="23" spans="1:2" ht="15" customHeight="1" x14ac:dyDescent="0.35">
      <c r="A23" s="7" t="s">
        <v>28</v>
      </c>
      <c r="B23" s="7">
        <f>COUNTA('Competitor master'!$A$4:$A$100)</f>
        <v>27</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showGridLines="0" zoomScaleNormal="100" workbookViewId="0">
      <pane xSplit="1" ySplit="3" topLeftCell="B22" activePane="bottomRight" state="frozen"/>
      <selection pane="topRight" activeCell="B1" sqref="B1"/>
      <selection pane="bottomLeft" activeCell="A4" sqref="A4"/>
      <selection pane="bottomRight" activeCell="F10" sqref="F10"/>
    </sheetView>
  </sheetViews>
  <sheetFormatPr defaultColWidth="8.453125" defaultRowHeight="14.5" x14ac:dyDescent="0.35"/>
  <cols>
    <col min="1" max="1" width="22" customWidth="1"/>
    <col min="2" max="2" width="20" customWidth="1"/>
    <col min="3" max="3" width="16" customWidth="1"/>
    <col min="4" max="4" width="10" customWidth="1"/>
    <col min="5" max="5" width="11" customWidth="1"/>
    <col min="6" max="6" width="15" customWidth="1"/>
    <col min="7" max="7" width="12" customWidth="1"/>
    <col min="8" max="8" width="34" customWidth="1"/>
    <col min="9" max="9" width="40" customWidth="1"/>
    <col min="10" max="10" width="18" customWidth="1"/>
    <col min="11" max="11" width="26" customWidth="1"/>
    <col min="12" max="12" width="16" customWidth="1"/>
    <col min="13" max="13" width="46" customWidth="1"/>
    <col min="14" max="14" width="44" customWidth="1"/>
    <col min="15" max="15" width="12" customWidth="1"/>
    <col min="16" max="16" width="34" customWidth="1"/>
    <col min="17" max="17" width="46" customWidth="1"/>
    <col min="18" max="18" width="16" customWidth="1"/>
  </cols>
  <sheetData>
    <row r="1" spans="1:18" ht="21.75" customHeight="1" x14ac:dyDescent="0.4">
      <c r="A1" s="1" t="s">
        <v>29</v>
      </c>
    </row>
    <row r="2" spans="1:18" ht="15" customHeight="1" x14ac:dyDescent="0.35">
      <c r="A2" s="2" t="s">
        <v>30</v>
      </c>
    </row>
    <row r="3" spans="1:18" ht="42" customHeight="1" x14ac:dyDescent="0.35">
      <c r="A3" s="8" t="s">
        <v>31</v>
      </c>
      <c r="B3" s="8" t="s">
        <v>32</v>
      </c>
      <c r="C3" s="8" t="s">
        <v>33</v>
      </c>
      <c r="D3" s="8" t="s">
        <v>34</v>
      </c>
      <c r="E3" s="8" t="s">
        <v>35</v>
      </c>
      <c r="F3" s="8" t="s">
        <v>36</v>
      </c>
      <c r="G3" s="8" t="s">
        <v>37</v>
      </c>
      <c r="H3" s="8" t="s">
        <v>38</v>
      </c>
      <c r="I3" s="8" t="s">
        <v>39</v>
      </c>
      <c r="J3" s="8" t="s">
        <v>40</v>
      </c>
      <c r="K3" s="8" t="s">
        <v>41</v>
      </c>
      <c r="L3" s="8" t="s">
        <v>42</v>
      </c>
      <c r="M3" s="8" t="s">
        <v>43</v>
      </c>
      <c r="N3" s="8" t="s">
        <v>44</v>
      </c>
      <c r="O3" s="8" t="s">
        <v>45</v>
      </c>
      <c r="P3" s="8" t="s">
        <v>46</v>
      </c>
      <c r="Q3" s="8" t="s">
        <v>47</v>
      </c>
      <c r="R3" s="8" t="s">
        <v>48</v>
      </c>
    </row>
    <row r="4" spans="1:18" ht="34.5" customHeight="1" x14ac:dyDescent="0.35">
      <c r="A4" s="9" t="s">
        <v>49</v>
      </c>
      <c r="B4" s="10" t="s">
        <v>50</v>
      </c>
      <c r="C4" s="10" t="s">
        <v>51</v>
      </c>
      <c r="D4" s="10" t="s">
        <v>24</v>
      </c>
      <c r="E4" s="10" t="s">
        <v>52</v>
      </c>
      <c r="F4" s="10" t="s">
        <v>53</v>
      </c>
      <c r="G4" s="10" t="s">
        <v>54</v>
      </c>
      <c r="H4" s="10" t="s">
        <v>55</v>
      </c>
      <c r="I4" s="10" t="s">
        <v>56</v>
      </c>
      <c r="J4" s="10" t="s">
        <v>57</v>
      </c>
      <c r="K4" s="10" t="s">
        <v>58</v>
      </c>
      <c r="L4" s="10" t="s">
        <v>59</v>
      </c>
      <c r="M4" s="10" t="s">
        <v>60</v>
      </c>
      <c r="N4" s="10" t="s">
        <v>61</v>
      </c>
      <c r="O4" s="10" t="s">
        <v>62</v>
      </c>
      <c r="P4" s="10" t="s">
        <v>63</v>
      </c>
      <c r="Q4" s="10" t="s">
        <v>64</v>
      </c>
      <c r="R4" s="10" t="s">
        <v>65</v>
      </c>
    </row>
    <row r="5" spans="1:18" ht="46" customHeight="1" x14ac:dyDescent="0.35">
      <c r="A5" s="11" t="s">
        <v>66</v>
      </c>
      <c r="B5" s="11" t="s">
        <v>67</v>
      </c>
      <c r="C5" s="11" t="s">
        <v>68</v>
      </c>
      <c r="D5" s="11" t="s">
        <v>25</v>
      </c>
      <c r="E5" s="11" t="s">
        <v>52</v>
      </c>
      <c r="F5" s="11" t="s">
        <v>69</v>
      </c>
      <c r="G5" s="11" t="s">
        <v>70</v>
      </c>
      <c r="H5" s="11" t="s">
        <v>71</v>
      </c>
      <c r="I5" s="11" t="s">
        <v>72</v>
      </c>
      <c r="J5" s="11" t="s">
        <v>57</v>
      </c>
      <c r="K5" s="11" t="s">
        <v>73</v>
      </c>
      <c r="L5" s="11" t="s">
        <v>59</v>
      </c>
      <c r="M5" s="11" t="s">
        <v>74</v>
      </c>
      <c r="N5" s="11" t="s">
        <v>75</v>
      </c>
      <c r="O5" s="11" t="s">
        <v>76</v>
      </c>
      <c r="P5" s="11" t="s">
        <v>77</v>
      </c>
      <c r="Q5" s="11" t="s">
        <v>78</v>
      </c>
      <c r="R5" s="11" t="s">
        <v>79</v>
      </c>
    </row>
    <row r="6" spans="1:18" ht="34.5" customHeight="1" x14ac:dyDescent="0.35">
      <c r="A6" s="11" t="s">
        <v>80</v>
      </c>
      <c r="B6" s="11" t="s">
        <v>81</v>
      </c>
      <c r="C6" s="11" t="s">
        <v>82</v>
      </c>
      <c r="D6" s="11" t="s">
        <v>24</v>
      </c>
      <c r="E6" s="11" t="s">
        <v>76</v>
      </c>
      <c r="F6" s="11" t="s">
        <v>83</v>
      </c>
      <c r="G6" s="11" t="s">
        <v>84</v>
      </c>
      <c r="H6" s="11" t="s">
        <v>85</v>
      </c>
      <c r="I6" s="11" t="s">
        <v>86</v>
      </c>
      <c r="J6" s="11" t="s">
        <v>57</v>
      </c>
      <c r="K6" s="11" t="s">
        <v>87</v>
      </c>
      <c r="L6" s="11" t="s">
        <v>88</v>
      </c>
      <c r="M6" s="11" t="s">
        <v>89</v>
      </c>
      <c r="N6" s="11" t="s">
        <v>90</v>
      </c>
      <c r="O6" s="11" t="s">
        <v>76</v>
      </c>
      <c r="P6" s="11" t="s">
        <v>91</v>
      </c>
      <c r="Q6" s="11" t="s">
        <v>92</v>
      </c>
      <c r="R6" s="11" t="s">
        <v>93</v>
      </c>
    </row>
    <row r="7" spans="1:18" ht="34.5" customHeight="1" x14ac:dyDescent="0.35">
      <c r="A7" s="11" t="s">
        <v>94</v>
      </c>
      <c r="B7" s="11" t="s">
        <v>67</v>
      </c>
      <c r="C7" s="11" t="s">
        <v>68</v>
      </c>
      <c r="D7" s="11" t="s">
        <v>25</v>
      </c>
      <c r="E7" s="11" t="s">
        <v>95</v>
      </c>
      <c r="F7" s="11" t="s">
        <v>96</v>
      </c>
      <c r="G7" s="11" t="s">
        <v>97</v>
      </c>
      <c r="H7" s="11" t="s">
        <v>98</v>
      </c>
      <c r="I7" s="11" t="s">
        <v>99</v>
      </c>
      <c r="J7" s="11" t="s">
        <v>100</v>
      </c>
      <c r="K7" s="11" t="s">
        <v>101</v>
      </c>
      <c r="L7" s="11" t="s">
        <v>59</v>
      </c>
      <c r="M7" s="11" t="s">
        <v>102</v>
      </c>
      <c r="N7" s="11" t="s">
        <v>103</v>
      </c>
      <c r="O7" s="11" t="s">
        <v>104</v>
      </c>
      <c r="P7" s="11" t="s">
        <v>105</v>
      </c>
      <c r="Q7" s="11" t="s">
        <v>106</v>
      </c>
      <c r="R7" s="11" t="s">
        <v>107</v>
      </c>
    </row>
    <row r="8" spans="1:18" ht="34.5" customHeight="1" x14ac:dyDescent="0.35">
      <c r="A8" s="11" t="s">
        <v>108</v>
      </c>
      <c r="B8" s="11" t="s">
        <v>109</v>
      </c>
      <c r="C8" s="11" t="s">
        <v>109</v>
      </c>
      <c r="D8" s="11" t="s">
        <v>26</v>
      </c>
      <c r="E8" s="11" t="s">
        <v>76</v>
      </c>
      <c r="F8" s="11" t="s">
        <v>76</v>
      </c>
      <c r="G8" s="11" t="s">
        <v>76</v>
      </c>
      <c r="H8" s="11" t="s">
        <v>110</v>
      </c>
      <c r="I8" s="11" t="s">
        <v>110</v>
      </c>
      <c r="J8" s="11" t="s">
        <v>100</v>
      </c>
      <c r="K8" s="11" t="s">
        <v>111</v>
      </c>
      <c r="L8" s="11" t="s">
        <v>112</v>
      </c>
      <c r="M8" s="11" t="s">
        <v>113</v>
      </c>
      <c r="N8" s="11" t="s">
        <v>114</v>
      </c>
      <c r="O8" s="11" t="s">
        <v>76</v>
      </c>
      <c r="P8" s="11" t="s">
        <v>115</v>
      </c>
      <c r="Q8" s="11" t="s">
        <v>116</v>
      </c>
      <c r="R8" s="11" t="s">
        <v>117</v>
      </c>
    </row>
    <row r="9" spans="1:18" ht="23" customHeight="1" x14ac:dyDescent="0.35">
      <c r="A9" s="11" t="s">
        <v>118</v>
      </c>
      <c r="B9" s="11" t="s">
        <v>119</v>
      </c>
      <c r="C9" s="11" t="s">
        <v>120</v>
      </c>
      <c r="D9" s="11" t="s">
        <v>24</v>
      </c>
      <c r="E9" s="11" t="s">
        <v>121</v>
      </c>
      <c r="F9" s="11" t="s">
        <v>122</v>
      </c>
      <c r="G9" s="11" t="s">
        <v>84</v>
      </c>
      <c r="H9" s="11" t="s">
        <v>123</v>
      </c>
      <c r="I9" s="11" t="s">
        <v>124</v>
      </c>
      <c r="J9" s="11" t="s">
        <v>125</v>
      </c>
      <c r="K9" s="11" t="s">
        <v>126</v>
      </c>
      <c r="L9" s="11" t="s">
        <v>112</v>
      </c>
      <c r="M9" s="11" t="s">
        <v>127</v>
      </c>
      <c r="N9" s="11" t="s">
        <v>128</v>
      </c>
      <c r="O9" s="11" t="s">
        <v>129</v>
      </c>
      <c r="P9" s="11" t="s">
        <v>130</v>
      </c>
      <c r="Q9" s="11" t="s">
        <v>131</v>
      </c>
      <c r="R9" s="11" t="s">
        <v>132</v>
      </c>
    </row>
    <row r="10" spans="1:18" ht="34.5" customHeight="1" x14ac:dyDescent="0.35">
      <c r="A10" s="11" t="s">
        <v>133</v>
      </c>
      <c r="B10" s="11" t="s">
        <v>134</v>
      </c>
      <c r="C10" s="11" t="s">
        <v>120</v>
      </c>
      <c r="D10" s="11" t="s">
        <v>24</v>
      </c>
      <c r="E10" s="11" t="s">
        <v>135</v>
      </c>
      <c r="F10" s="11" t="s">
        <v>136</v>
      </c>
      <c r="G10" s="11" t="s">
        <v>76</v>
      </c>
      <c r="H10" s="11" t="s">
        <v>137</v>
      </c>
      <c r="I10" s="11" t="s">
        <v>110</v>
      </c>
      <c r="J10" s="11" t="s">
        <v>138</v>
      </c>
      <c r="K10" s="11" t="s">
        <v>139</v>
      </c>
      <c r="L10" s="11" t="s">
        <v>140</v>
      </c>
      <c r="M10" s="11" t="s">
        <v>141</v>
      </c>
      <c r="N10" s="11" t="s">
        <v>142</v>
      </c>
      <c r="O10" s="11" t="s">
        <v>76</v>
      </c>
      <c r="P10" s="11" t="s">
        <v>110</v>
      </c>
      <c r="Q10" s="11" t="s">
        <v>143</v>
      </c>
      <c r="R10" s="11" t="s">
        <v>144</v>
      </c>
    </row>
    <row r="11" spans="1:18" ht="34.5" customHeight="1" x14ac:dyDescent="0.35">
      <c r="A11" s="11" t="s">
        <v>145</v>
      </c>
      <c r="B11" s="11" t="s">
        <v>146</v>
      </c>
      <c r="C11" s="11" t="s">
        <v>109</v>
      </c>
      <c r="D11" s="11" t="s">
        <v>26</v>
      </c>
      <c r="E11" s="11" t="s">
        <v>147</v>
      </c>
      <c r="F11" s="11" t="s">
        <v>96</v>
      </c>
      <c r="G11" s="11" t="s">
        <v>148</v>
      </c>
      <c r="H11" s="11" t="s">
        <v>149</v>
      </c>
      <c r="I11" s="11" t="s">
        <v>150</v>
      </c>
      <c r="J11" s="11" t="s">
        <v>57</v>
      </c>
      <c r="K11" s="11" t="s">
        <v>151</v>
      </c>
      <c r="L11" s="11" t="s">
        <v>152</v>
      </c>
      <c r="M11" s="11" t="s">
        <v>153</v>
      </c>
      <c r="N11" s="11" t="s">
        <v>154</v>
      </c>
      <c r="O11" s="11" t="s">
        <v>76</v>
      </c>
      <c r="P11" s="11" t="s">
        <v>115</v>
      </c>
      <c r="Q11" s="11" t="s">
        <v>155</v>
      </c>
      <c r="R11" s="11" t="s">
        <v>156</v>
      </c>
    </row>
    <row r="12" spans="1:18" ht="34.5" customHeight="1" x14ac:dyDescent="0.35">
      <c r="A12" s="11" t="s">
        <v>157</v>
      </c>
      <c r="B12" s="11" t="s">
        <v>109</v>
      </c>
      <c r="C12" s="11" t="s">
        <v>109</v>
      </c>
      <c r="D12" s="11" t="s">
        <v>26</v>
      </c>
      <c r="E12" s="11" t="s">
        <v>158</v>
      </c>
      <c r="F12" s="11" t="s">
        <v>83</v>
      </c>
      <c r="G12" s="11" t="s">
        <v>159</v>
      </c>
      <c r="H12" s="11" t="s">
        <v>160</v>
      </c>
      <c r="I12" s="11" t="s">
        <v>161</v>
      </c>
      <c r="J12" s="11" t="s">
        <v>57</v>
      </c>
      <c r="K12" s="11" t="s">
        <v>162</v>
      </c>
      <c r="L12" s="11" t="s">
        <v>112</v>
      </c>
      <c r="M12" s="11" t="s">
        <v>163</v>
      </c>
      <c r="N12" s="11" t="s">
        <v>164</v>
      </c>
      <c r="O12" s="11" t="s">
        <v>76</v>
      </c>
      <c r="P12" s="11" t="s">
        <v>165</v>
      </c>
      <c r="Q12" s="11" t="s">
        <v>166</v>
      </c>
      <c r="R12" s="11" t="s">
        <v>167</v>
      </c>
    </row>
    <row r="13" spans="1:18" ht="34.5" customHeight="1" x14ac:dyDescent="0.35">
      <c r="A13" s="11" t="s">
        <v>168</v>
      </c>
      <c r="B13" s="11" t="s">
        <v>109</v>
      </c>
      <c r="C13" s="11" t="s">
        <v>109</v>
      </c>
      <c r="D13" s="11" t="s">
        <v>26</v>
      </c>
      <c r="E13" s="11" t="s">
        <v>169</v>
      </c>
      <c r="F13" s="11" t="s">
        <v>83</v>
      </c>
      <c r="G13" s="11" t="s">
        <v>170</v>
      </c>
      <c r="H13" s="11" t="s">
        <v>171</v>
      </c>
      <c r="I13" s="11" t="s">
        <v>172</v>
      </c>
      <c r="J13" s="11" t="s">
        <v>57</v>
      </c>
      <c r="K13" s="11" t="s">
        <v>173</v>
      </c>
      <c r="L13" s="11" t="s">
        <v>174</v>
      </c>
      <c r="M13" s="11" t="s">
        <v>175</v>
      </c>
      <c r="N13" s="11" t="s">
        <v>176</v>
      </c>
      <c r="O13" s="11" t="s">
        <v>76</v>
      </c>
      <c r="P13" s="11" t="s">
        <v>115</v>
      </c>
      <c r="Q13" s="11" t="s">
        <v>177</v>
      </c>
      <c r="R13" s="11" t="s">
        <v>178</v>
      </c>
    </row>
    <row r="14" spans="1:18" ht="23" customHeight="1" x14ac:dyDescent="0.35">
      <c r="A14" s="11" t="s">
        <v>179</v>
      </c>
      <c r="B14" s="11" t="s">
        <v>109</v>
      </c>
      <c r="C14" s="11" t="s">
        <v>109</v>
      </c>
      <c r="D14" s="11" t="s">
        <v>26</v>
      </c>
      <c r="E14" s="11" t="s">
        <v>76</v>
      </c>
      <c r="F14" s="11" t="s">
        <v>122</v>
      </c>
      <c r="G14" s="11" t="s">
        <v>180</v>
      </c>
      <c r="H14" s="11" t="s">
        <v>181</v>
      </c>
      <c r="I14" s="11" t="s">
        <v>182</v>
      </c>
      <c r="J14" s="11" t="s">
        <v>183</v>
      </c>
      <c r="K14" s="11" t="s">
        <v>184</v>
      </c>
      <c r="L14" s="11" t="s">
        <v>174</v>
      </c>
      <c r="M14" s="11" t="s">
        <v>185</v>
      </c>
      <c r="N14" s="11" t="s">
        <v>186</v>
      </c>
      <c r="O14" s="11" t="s">
        <v>76</v>
      </c>
      <c r="P14" s="11" t="s">
        <v>115</v>
      </c>
      <c r="Q14" s="11" t="s">
        <v>76</v>
      </c>
      <c r="R14" s="11" t="s">
        <v>187</v>
      </c>
    </row>
    <row r="15" spans="1:18" ht="21.75" customHeight="1" x14ac:dyDescent="0.35">
      <c r="A15" s="11" t="s">
        <v>188</v>
      </c>
      <c r="B15" s="11" t="s">
        <v>109</v>
      </c>
      <c r="C15" s="11" t="s">
        <v>109</v>
      </c>
      <c r="D15" s="11" t="s">
        <v>26</v>
      </c>
      <c r="E15" s="11" t="s">
        <v>189</v>
      </c>
      <c r="F15" s="11" t="s">
        <v>69</v>
      </c>
      <c r="G15" s="11" t="s">
        <v>190</v>
      </c>
      <c r="H15" s="11" t="s">
        <v>191</v>
      </c>
      <c r="I15" s="11" t="s">
        <v>192</v>
      </c>
      <c r="J15" s="11" t="s">
        <v>193</v>
      </c>
      <c r="K15" s="11" t="s">
        <v>194</v>
      </c>
      <c r="L15" s="11" t="s">
        <v>112</v>
      </c>
      <c r="M15" s="11" t="s">
        <v>195</v>
      </c>
      <c r="N15" s="11" t="s">
        <v>196</v>
      </c>
      <c r="O15" s="11" t="s">
        <v>76</v>
      </c>
      <c r="P15" s="11" t="s">
        <v>115</v>
      </c>
      <c r="Q15" s="11" t="s">
        <v>197</v>
      </c>
      <c r="R15" s="11" t="s">
        <v>198</v>
      </c>
    </row>
    <row r="16" spans="1:18" ht="23" customHeight="1" x14ac:dyDescent="0.35">
      <c r="A16" s="11" t="s">
        <v>199</v>
      </c>
      <c r="B16" s="11" t="s">
        <v>109</v>
      </c>
      <c r="C16" s="11" t="s">
        <v>109</v>
      </c>
      <c r="D16" s="11" t="s">
        <v>26</v>
      </c>
      <c r="E16" s="11" t="s">
        <v>76</v>
      </c>
      <c r="F16" s="11" t="s">
        <v>69</v>
      </c>
      <c r="G16" s="11" t="s">
        <v>76</v>
      </c>
      <c r="H16" s="11" t="s">
        <v>200</v>
      </c>
      <c r="I16" s="11" t="s">
        <v>110</v>
      </c>
      <c r="J16" s="11" t="s">
        <v>201</v>
      </c>
      <c r="K16" s="11" t="s">
        <v>202</v>
      </c>
      <c r="L16" s="11" t="s">
        <v>174</v>
      </c>
      <c r="M16" s="11" t="s">
        <v>203</v>
      </c>
      <c r="N16" s="11" t="s">
        <v>204</v>
      </c>
      <c r="O16" s="11" t="s">
        <v>76</v>
      </c>
      <c r="P16" s="11" t="s">
        <v>115</v>
      </c>
      <c r="Q16" s="11" t="s">
        <v>76</v>
      </c>
      <c r="R16" s="11" t="s">
        <v>205</v>
      </c>
    </row>
    <row r="17" spans="1:18" ht="23" customHeight="1" x14ac:dyDescent="0.35">
      <c r="A17" s="11" t="s">
        <v>206</v>
      </c>
      <c r="B17" s="11" t="s">
        <v>109</v>
      </c>
      <c r="C17" s="11" t="s">
        <v>109</v>
      </c>
      <c r="D17" s="11" t="s">
        <v>26</v>
      </c>
      <c r="E17" s="11" t="s">
        <v>76</v>
      </c>
      <c r="F17" s="11" t="s">
        <v>207</v>
      </c>
      <c r="G17" s="11" t="s">
        <v>76</v>
      </c>
      <c r="H17" s="11" t="s">
        <v>110</v>
      </c>
      <c r="I17" s="11" t="s">
        <v>110</v>
      </c>
      <c r="J17" s="11" t="s">
        <v>183</v>
      </c>
      <c r="K17" s="11" t="s">
        <v>208</v>
      </c>
      <c r="L17" s="11" t="s">
        <v>174</v>
      </c>
      <c r="M17" s="11" t="s">
        <v>209</v>
      </c>
      <c r="N17" s="11" t="s">
        <v>210</v>
      </c>
      <c r="O17" s="11" t="s">
        <v>76</v>
      </c>
      <c r="P17" s="11" t="s">
        <v>115</v>
      </c>
      <c r="Q17" s="11" t="s">
        <v>76</v>
      </c>
      <c r="R17" s="11" t="s">
        <v>211</v>
      </c>
    </row>
    <row r="18" spans="1:18" ht="21.75" customHeight="1" x14ac:dyDescent="0.35">
      <c r="A18" s="11" t="s">
        <v>212</v>
      </c>
      <c r="B18" s="11" t="s">
        <v>109</v>
      </c>
      <c r="C18" s="11" t="s">
        <v>109</v>
      </c>
      <c r="D18" s="11" t="s">
        <v>26</v>
      </c>
      <c r="E18" s="11" t="s">
        <v>213</v>
      </c>
      <c r="F18" s="11" t="s">
        <v>96</v>
      </c>
      <c r="G18" s="11" t="s">
        <v>76</v>
      </c>
      <c r="H18" s="11" t="s">
        <v>110</v>
      </c>
      <c r="I18" s="11" t="s">
        <v>110</v>
      </c>
      <c r="J18" s="11" t="s">
        <v>214</v>
      </c>
      <c r="K18" s="11" t="s">
        <v>208</v>
      </c>
      <c r="L18" s="11" t="s">
        <v>174</v>
      </c>
      <c r="M18" s="11" t="s">
        <v>215</v>
      </c>
      <c r="N18" s="11" t="s">
        <v>216</v>
      </c>
      <c r="O18" s="11" t="s">
        <v>76</v>
      </c>
      <c r="P18" s="11" t="s">
        <v>115</v>
      </c>
      <c r="Q18" s="11" t="s">
        <v>76</v>
      </c>
      <c r="R18" s="11" t="s">
        <v>217</v>
      </c>
    </row>
    <row r="19" spans="1:18" ht="21.75" customHeight="1" x14ac:dyDescent="0.35">
      <c r="A19" s="11" t="s">
        <v>218</v>
      </c>
      <c r="B19" s="11" t="s">
        <v>219</v>
      </c>
      <c r="C19" s="11" t="s">
        <v>109</v>
      </c>
      <c r="D19" s="11" t="s">
        <v>26</v>
      </c>
      <c r="E19" s="11" t="s">
        <v>76</v>
      </c>
      <c r="F19" s="11" t="s">
        <v>76</v>
      </c>
      <c r="G19" s="11" t="s">
        <v>76</v>
      </c>
      <c r="H19" s="11" t="s">
        <v>110</v>
      </c>
      <c r="I19" s="11" t="s">
        <v>110</v>
      </c>
      <c r="J19" s="11" t="s">
        <v>220</v>
      </c>
      <c r="K19" s="11" t="s">
        <v>202</v>
      </c>
      <c r="L19" s="11" t="s">
        <v>174</v>
      </c>
      <c r="M19" s="11" t="s">
        <v>221</v>
      </c>
      <c r="N19" s="11" t="s">
        <v>222</v>
      </c>
      <c r="O19" s="11" t="s">
        <v>76</v>
      </c>
      <c r="P19" s="11" t="s">
        <v>115</v>
      </c>
      <c r="Q19" s="11" t="s">
        <v>223</v>
      </c>
      <c r="R19" s="11" t="s">
        <v>76</v>
      </c>
    </row>
    <row r="20" spans="1:18" ht="23" customHeight="1" x14ac:dyDescent="0.35">
      <c r="A20" s="11" t="s">
        <v>224</v>
      </c>
      <c r="B20" s="11" t="s">
        <v>146</v>
      </c>
      <c r="C20" s="11" t="s">
        <v>109</v>
      </c>
      <c r="D20" s="11" t="s">
        <v>26</v>
      </c>
      <c r="E20" s="11" t="s">
        <v>225</v>
      </c>
      <c r="F20" s="11" t="s">
        <v>83</v>
      </c>
      <c r="G20" s="11" t="s">
        <v>226</v>
      </c>
      <c r="H20" s="11" t="s">
        <v>227</v>
      </c>
      <c r="I20" s="11" t="s">
        <v>228</v>
      </c>
      <c r="J20" s="11" t="s">
        <v>229</v>
      </c>
      <c r="K20" s="11" t="s">
        <v>230</v>
      </c>
      <c r="L20" s="11" t="s">
        <v>231</v>
      </c>
      <c r="M20" s="11" t="s">
        <v>232</v>
      </c>
      <c r="N20" s="11" t="s">
        <v>233</v>
      </c>
      <c r="O20" s="11" t="s">
        <v>76</v>
      </c>
      <c r="P20" s="11" t="s">
        <v>234</v>
      </c>
      <c r="Q20" s="11" t="s">
        <v>235</v>
      </c>
      <c r="R20" s="11" t="s">
        <v>236</v>
      </c>
    </row>
    <row r="21" spans="1:18" ht="21.75" customHeight="1" x14ac:dyDescent="0.35">
      <c r="A21" s="11" t="s">
        <v>237</v>
      </c>
      <c r="B21" s="11" t="s">
        <v>67</v>
      </c>
      <c r="C21" s="11" t="s">
        <v>68</v>
      </c>
      <c r="D21" s="11" t="s">
        <v>25</v>
      </c>
      <c r="E21" s="11" t="s">
        <v>238</v>
      </c>
      <c r="F21" s="11" t="s">
        <v>122</v>
      </c>
      <c r="G21" s="11" t="s">
        <v>76</v>
      </c>
      <c r="H21" s="11" t="s">
        <v>110</v>
      </c>
      <c r="I21" s="11" t="s">
        <v>110</v>
      </c>
      <c r="J21" s="11" t="s">
        <v>229</v>
      </c>
      <c r="K21" s="11" t="s">
        <v>239</v>
      </c>
      <c r="L21" s="11" t="s">
        <v>240</v>
      </c>
      <c r="M21" s="11" t="s">
        <v>241</v>
      </c>
      <c r="N21" s="11" t="s">
        <v>242</v>
      </c>
      <c r="O21" s="11" t="s">
        <v>76</v>
      </c>
      <c r="P21" s="11" t="s">
        <v>115</v>
      </c>
      <c r="Q21" s="11" t="s">
        <v>76</v>
      </c>
      <c r="R21" s="11" t="s">
        <v>243</v>
      </c>
    </row>
    <row r="22" spans="1:18" ht="34.5" customHeight="1" x14ac:dyDescent="0.35">
      <c r="A22" s="11" t="s">
        <v>244</v>
      </c>
      <c r="B22" s="11" t="s">
        <v>245</v>
      </c>
      <c r="C22" s="11" t="s">
        <v>246</v>
      </c>
      <c r="D22" s="11" t="s">
        <v>247</v>
      </c>
      <c r="E22" s="11" t="s">
        <v>248</v>
      </c>
      <c r="F22" s="11" t="s">
        <v>69</v>
      </c>
      <c r="G22" s="11" t="s">
        <v>249</v>
      </c>
      <c r="H22" s="11" t="s">
        <v>250</v>
      </c>
      <c r="I22" s="11" t="s">
        <v>251</v>
      </c>
      <c r="J22" s="11" t="s">
        <v>252</v>
      </c>
      <c r="K22" s="11" t="s">
        <v>253</v>
      </c>
      <c r="L22" s="11" t="s">
        <v>254</v>
      </c>
      <c r="M22" s="11" t="s">
        <v>255</v>
      </c>
      <c r="N22" s="11" t="s">
        <v>256</v>
      </c>
      <c r="O22" s="11" t="s">
        <v>76</v>
      </c>
      <c r="P22" s="11" t="s">
        <v>115</v>
      </c>
      <c r="Q22" s="11" t="s">
        <v>257</v>
      </c>
      <c r="R22" s="11" t="s">
        <v>258</v>
      </c>
    </row>
    <row r="23" spans="1:18" ht="21.75" customHeight="1" x14ac:dyDescent="0.35">
      <c r="A23" s="11" t="s">
        <v>259</v>
      </c>
      <c r="B23" s="11" t="s">
        <v>67</v>
      </c>
      <c r="C23" s="11" t="s">
        <v>68</v>
      </c>
      <c r="D23" s="11" t="s">
        <v>25</v>
      </c>
      <c r="E23" s="11" t="s">
        <v>95</v>
      </c>
      <c r="F23" s="11" t="s">
        <v>260</v>
      </c>
      <c r="G23" s="11" t="s">
        <v>76</v>
      </c>
      <c r="H23" s="11" t="s">
        <v>110</v>
      </c>
      <c r="I23" s="11" t="s">
        <v>110</v>
      </c>
      <c r="J23" s="11" t="s">
        <v>261</v>
      </c>
      <c r="K23" s="11" t="s">
        <v>262</v>
      </c>
      <c r="L23" s="11" t="s">
        <v>263</v>
      </c>
      <c r="M23" s="11" t="s">
        <v>264</v>
      </c>
      <c r="N23" s="11" t="s">
        <v>265</v>
      </c>
      <c r="O23" s="11" t="s">
        <v>266</v>
      </c>
      <c r="P23" s="11" t="s">
        <v>267</v>
      </c>
      <c r="Q23" s="11" t="s">
        <v>268</v>
      </c>
      <c r="R23" s="11" t="s">
        <v>269</v>
      </c>
    </row>
    <row r="24" spans="1:18" ht="23" customHeight="1" x14ac:dyDescent="0.35">
      <c r="A24" s="11" t="s">
        <v>270</v>
      </c>
      <c r="B24" s="11" t="s">
        <v>271</v>
      </c>
      <c r="C24" s="11" t="s">
        <v>246</v>
      </c>
      <c r="D24" s="11" t="s">
        <v>272</v>
      </c>
      <c r="E24" s="11" t="s">
        <v>273</v>
      </c>
      <c r="F24" s="11" t="s">
        <v>274</v>
      </c>
      <c r="G24" s="11" t="s">
        <v>76</v>
      </c>
      <c r="H24" s="11" t="s">
        <v>275</v>
      </c>
      <c r="I24" s="11" t="s">
        <v>276</v>
      </c>
      <c r="J24" s="11" t="s">
        <v>277</v>
      </c>
      <c r="K24" s="11" t="s">
        <v>278</v>
      </c>
      <c r="L24" s="11" t="s">
        <v>231</v>
      </c>
      <c r="M24" s="11" t="s">
        <v>279</v>
      </c>
      <c r="N24" s="11" t="s">
        <v>280</v>
      </c>
      <c r="O24" s="11" t="s">
        <v>76</v>
      </c>
      <c r="P24" s="11" t="s">
        <v>281</v>
      </c>
      <c r="Q24" s="11" t="s">
        <v>282</v>
      </c>
      <c r="R24" s="11" t="s">
        <v>283</v>
      </c>
    </row>
    <row r="25" spans="1:18" ht="23" customHeight="1" x14ac:dyDescent="0.35">
      <c r="A25" s="11" t="s">
        <v>284</v>
      </c>
      <c r="B25" s="11" t="s">
        <v>285</v>
      </c>
      <c r="C25" s="11" t="s">
        <v>285</v>
      </c>
      <c r="D25" s="11" t="s">
        <v>24</v>
      </c>
      <c r="E25" s="11" t="s">
        <v>76</v>
      </c>
      <c r="F25" s="11" t="s">
        <v>286</v>
      </c>
      <c r="G25" s="11" t="s">
        <v>76</v>
      </c>
      <c r="H25" s="11" t="s">
        <v>110</v>
      </c>
      <c r="I25" s="11" t="s">
        <v>110</v>
      </c>
      <c r="J25" s="11" t="s">
        <v>287</v>
      </c>
      <c r="K25" s="11" t="s">
        <v>288</v>
      </c>
      <c r="L25" s="11" t="s">
        <v>289</v>
      </c>
      <c r="M25" s="11" t="s">
        <v>290</v>
      </c>
      <c r="N25" s="11" t="s">
        <v>291</v>
      </c>
      <c r="O25" s="11" t="s">
        <v>76</v>
      </c>
      <c r="P25" s="11" t="s">
        <v>115</v>
      </c>
      <c r="Q25" s="11" t="s">
        <v>76</v>
      </c>
      <c r="R25" s="11" t="s">
        <v>292</v>
      </c>
    </row>
    <row r="26" spans="1:18" ht="34.5" customHeight="1" x14ac:dyDescent="0.35">
      <c r="A26" s="12" t="s">
        <v>293</v>
      </c>
      <c r="B26" s="12" t="s">
        <v>294</v>
      </c>
      <c r="C26" s="12" t="s">
        <v>295</v>
      </c>
      <c r="D26" s="12" t="s">
        <v>24</v>
      </c>
      <c r="E26" s="12" t="s">
        <v>76</v>
      </c>
      <c r="F26" s="12" t="s">
        <v>296</v>
      </c>
      <c r="G26" s="12" t="s">
        <v>76</v>
      </c>
      <c r="H26" s="12" t="s">
        <v>297</v>
      </c>
      <c r="I26" s="12" t="s">
        <v>110</v>
      </c>
      <c r="J26" s="12" t="s">
        <v>287</v>
      </c>
      <c r="K26" s="12" t="s">
        <v>73</v>
      </c>
      <c r="L26" s="12" t="s">
        <v>289</v>
      </c>
      <c r="M26" s="12" t="s">
        <v>298</v>
      </c>
      <c r="N26" s="12" t="s">
        <v>299</v>
      </c>
      <c r="O26" s="12" t="s">
        <v>76</v>
      </c>
      <c r="P26" s="12" t="s">
        <v>115</v>
      </c>
      <c r="Q26" s="12" t="s">
        <v>300</v>
      </c>
      <c r="R26" s="12" t="s">
        <v>301</v>
      </c>
    </row>
    <row r="27" spans="1:18" ht="21.75" customHeight="1" x14ac:dyDescent="0.35">
      <c r="A27" s="11" t="s">
        <v>302</v>
      </c>
      <c r="B27" s="11" t="s">
        <v>303</v>
      </c>
      <c r="C27" s="11" t="s">
        <v>303</v>
      </c>
      <c r="D27" s="11" t="s">
        <v>24</v>
      </c>
      <c r="E27" s="11" t="s">
        <v>76</v>
      </c>
      <c r="F27" s="11" t="s">
        <v>69</v>
      </c>
      <c r="G27" s="11" t="s">
        <v>304</v>
      </c>
      <c r="H27" s="11" t="s">
        <v>305</v>
      </c>
      <c r="I27" s="11" t="s">
        <v>110</v>
      </c>
      <c r="J27" s="11" t="s">
        <v>306</v>
      </c>
      <c r="K27" s="11" t="s">
        <v>307</v>
      </c>
      <c r="L27" s="11" t="s">
        <v>112</v>
      </c>
      <c r="M27" s="11" t="s">
        <v>308</v>
      </c>
      <c r="N27" s="11" t="s">
        <v>309</v>
      </c>
      <c r="O27" s="11" t="s">
        <v>76</v>
      </c>
      <c r="P27" s="11" t="s">
        <v>115</v>
      </c>
      <c r="Q27" s="11" t="s">
        <v>310</v>
      </c>
      <c r="R27" s="11" t="s">
        <v>311</v>
      </c>
    </row>
    <row r="28" spans="1:18" ht="23" customHeight="1" x14ac:dyDescent="0.35">
      <c r="A28" s="11" t="s">
        <v>312</v>
      </c>
      <c r="B28" s="11" t="s">
        <v>313</v>
      </c>
      <c r="C28" s="11" t="s">
        <v>314</v>
      </c>
      <c r="D28" s="11" t="s">
        <v>272</v>
      </c>
      <c r="E28" s="11" t="s">
        <v>315</v>
      </c>
      <c r="F28" s="11" t="s">
        <v>316</v>
      </c>
      <c r="G28" s="11" t="s">
        <v>76</v>
      </c>
      <c r="H28" s="11" t="s">
        <v>276</v>
      </c>
      <c r="I28" s="11" t="s">
        <v>276</v>
      </c>
      <c r="J28" s="11" t="s">
        <v>317</v>
      </c>
      <c r="K28" s="11" t="s">
        <v>318</v>
      </c>
      <c r="L28" s="11" t="s">
        <v>319</v>
      </c>
      <c r="M28" s="11" t="s">
        <v>320</v>
      </c>
      <c r="N28" s="11" t="s">
        <v>321</v>
      </c>
      <c r="O28" s="11" t="s">
        <v>322</v>
      </c>
      <c r="P28" s="11" t="s">
        <v>323</v>
      </c>
      <c r="Q28" s="11" t="s">
        <v>324</v>
      </c>
      <c r="R28" s="11" t="s">
        <v>325</v>
      </c>
    </row>
    <row r="29" spans="1:18" ht="21.75" customHeight="1" x14ac:dyDescent="0.35">
      <c r="A29" s="11" t="s">
        <v>326</v>
      </c>
      <c r="B29" s="11" t="s">
        <v>327</v>
      </c>
      <c r="C29" s="11" t="s">
        <v>109</v>
      </c>
      <c r="D29" s="11" t="s">
        <v>26</v>
      </c>
      <c r="E29" s="11" t="s">
        <v>328</v>
      </c>
      <c r="F29" s="11" t="s">
        <v>329</v>
      </c>
      <c r="G29" s="11" t="s">
        <v>330</v>
      </c>
      <c r="H29" s="11" t="s">
        <v>331</v>
      </c>
      <c r="I29" s="11" t="s">
        <v>332</v>
      </c>
      <c r="J29" s="11" t="s">
        <v>333</v>
      </c>
      <c r="K29" s="11" t="s">
        <v>334</v>
      </c>
      <c r="L29" s="11" t="s">
        <v>319</v>
      </c>
      <c r="M29" s="11" t="s">
        <v>335</v>
      </c>
      <c r="N29" s="11" t="s">
        <v>336</v>
      </c>
      <c r="O29" s="11" t="s">
        <v>337</v>
      </c>
      <c r="P29" s="11" t="s">
        <v>338</v>
      </c>
      <c r="Q29" s="11" t="s">
        <v>339</v>
      </c>
      <c r="R29" s="11" t="s">
        <v>340</v>
      </c>
    </row>
    <row r="30" spans="1:18" ht="34.5" customHeight="1" x14ac:dyDescent="0.35">
      <c r="A30" s="13" t="s">
        <v>341</v>
      </c>
      <c r="B30" s="14" t="s">
        <v>119</v>
      </c>
      <c r="C30" s="14" t="s">
        <v>120</v>
      </c>
      <c r="D30" s="14" t="s">
        <v>24</v>
      </c>
      <c r="E30" s="14" t="s">
        <v>95</v>
      </c>
      <c r="F30" s="14" t="s">
        <v>260</v>
      </c>
      <c r="G30" s="14" t="s">
        <v>76</v>
      </c>
      <c r="H30" s="14" t="s">
        <v>342</v>
      </c>
      <c r="I30" s="14" t="s">
        <v>343</v>
      </c>
      <c r="J30" s="14" t="s">
        <v>344</v>
      </c>
      <c r="K30" s="14" t="s">
        <v>345</v>
      </c>
      <c r="L30" s="14" t="s">
        <v>231</v>
      </c>
      <c r="M30" s="14" t="s">
        <v>346</v>
      </c>
      <c r="N30" s="14" t="s">
        <v>347</v>
      </c>
      <c r="O30" s="14" t="s">
        <v>76</v>
      </c>
      <c r="P30" s="14" t="s">
        <v>348</v>
      </c>
      <c r="Q30" s="14" t="s">
        <v>349</v>
      </c>
      <c r="R30" s="14" t="s">
        <v>341</v>
      </c>
    </row>
  </sheetData>
  <autoFilter ref="A3:R30" xr:uid="{00000000-0009-0000-0000-000001000000}"/>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6"/>
  <sheetViews>
    <sheetView showGridLines="0" zoomScaleNormal="100" workbookViewId="0">
      <pane xSplit="1" ySplit="3" topLeftCell="B10" activePane="bottomRight" state="frozen"/>
      <selection pane="topRight" activeCell="B1" sqref="B1"/>
      <selection pane="bottomLeft" activeCell="A4" sqref="A4"/>
      <selection pane="bottomRight" activeCell="B10" sqref="B10"/>
    </sheetView>
  </sheetViews>
  <sheetFormatPr defaultColWidth="8.453125" defaultRowHeight="14.5" x14ac:dyDescent="0.35"/>
  <cols>
    <col min="1" max="1" width="24" customWidth="1"/>
    <col min="2" max="2" width="5.453125" bestFit="1" customWidth="1"/>
    <col min="3" max="3" width="7.81640625" bestFit="1" customWidth="1"/>
    <col min="4" max="4" width="10.1796875" bestFit="1" customWidth="1"/>
    <col min="5" max="5" width="5.453125" bestFit="1" customWidth="1"/>
    <col min="6" max="7" width="7.6328125" bestFit="1" customWidth="1"/>
    <col min="8" max="8" width="7.81640625" bestFit="1" customWidth="1"/>
    <col min="9" max="10" width="5.453125" bestFit="1" customWidth="1"/>
    <col min="11" max="17" width="7.6328125" bestFit="1" customWidth="1"/>
    <col min="18" max="18" width="10.1796875" bestFit="1" customWidth="1"/>
    <col min="19" max="19" width="7.6328125" bestFit="1" customWidth="1"/>
    <col min="20" max="20" width="5.453125" bestFit="1" customWidth="1"/>
  </cols>
  <sheetData>
    <row r="1" spans="1:20" ht="21.75" customHeight="1" x14ac:dyDescent="0.4">
      <c r="A1" s="1" t="s">
        <v>350</v>
      </c>
    </row>
    <row r="2" spans="1:20" ht="15" customHeight="1" x14ac:dyDescent="0.35">
      <c r="A2" s="2" t="s">
        <v>351</v>
      </c>
    </row>
    <row r="3" spans="1:20" ht="75.75" customHeight="1" x14ac:dyDescent="0.35">
      <c r="A3" s="8" t="s">
        <v>31</v>
      </c>
      <c r="B3" s="15" t="s">
        <v>352</v>
      </c>
      <c r="C3" s="15" t="s">
        <v>353</v>
      </c>
      <c r="D3" s="15" t="s">
        <v>354</v>
      </c>
      <c r="E3" s="15" t="s">
        <v>355</v>
      </c>
      <c r="F3" s="15" t="s">
        <v>356</v>
      </c>
      <c r="G3" s="15" t="s">
        <v>357</v>
      </c>
      <c r="H3" s="15" t="s">
        <v>358</v>
      </c>
      <c r="I3" s="15" t="s">
        <v>359</v>
      </c>
      <c r="J3" s="15" t="s">
        <v>360</v>
      </c>
      <c r="K3" s="15" t="s">
        <v>361</v>
      </c>
      <c r="L3" s="15" t="s">
        <v>362</v>
      </c>
      <c r="M3" s="15" t="s">
        <v>363</v>
      </c>
      <c r="N3" s="15" t="s">
        <v>364</v>
      </c>
      <c r="O3" s="15" t="s">
        <v>365</v>
      </c>
      <c r="P3" s="15" t="s">
        <v>366</v>
      </c>
      <c r="Q3" s="15" t="s">
        <v>367</v>
      </c>
      <c r="R3" s="15" t="s">
        <v>368</v>
      </c>
      <c r="S3" s="15" t="s">
        <v>369</v>
      </c>
      <c r="T3" s="15" t="s">
        <v>370</v>
      </c>
    </row>
    <row r="4" spans="1:20" ht="15" customHeight="1" x14ac:dyDescent="0.35">
      <c r="A4" s="16" t="s">
        <v>49</v>
      </c>
      <c r="B4" s="17" t="s">
        <v>371</v>
      </c>
      <c r="C4" s="17" t="s">
        <v>371</v>
      </c>
      <c r="D4" s="17" t="s">
        <v>371</v>
      </c>
      <c r="E4" s="17" t="s">
        <v>371</v>
      </c>
      <c r="F4" s="17" t="s">
        <v>371</v>
      </c>
      <c r="G4" s="17" t="s">
        <v>371</v>
      </c>
      <c r="H4" s="17" t="s">
        <v>371</v>
      </c>
      <c r="I4" s="17" t="s">
        <v>372</v>
      </c>
      <c r="J4" s="17" t="s">
        <v>371</v>
      </c>
      <c r="K4" s="17" t="s">
        <v>371</v>
      </c>
      <c r="L4" s="17" t="s">
        <v>371</v>
      </c>
      <c r="M4" s="17" t="s">
        <v>371</v>
      </c>
      <c r="N4" s="17" t="s">
        <v>371</v>
      </c>
      <c r="O4" s="17" t="s">
        <v>371</v>
      </c>
      <c r="P4" s="17" t="s">
        <v>371</v>
      </c>
      <c r="Q4" s="17" t="s">
        <v>371</v>
      </c>
      <c r="R4" s="17" t="s">
        <v>371</v>
      </c>
      <c r="S4" s="17" t="s">
        <v>372</v>
      </c>
      <c r="T4" s="18">
        <f t="shared" ref="T4:T29" si="0">COUNTIF(B4:S4,"Yes")+0.5*COUNTIF(B4:S4,"Partial")</f>
        <v>16</v>
      </c>
    </row>
    <row r="5" spans="1:20" ht="15" customHeight="1" x14ac:dyDescent="0.35">
      <c r="A5" s="19" t="s">
        <v>66</v>
      </c>
      <c r="B5" s="20" t="s">
        <v>371</v>
      </c>
      <c r="C5" s="21" t="s">
        <v>373</v>
      </c>
      <c r="D5" s="21" t="s">
        <v>373</v>
      </c>
      <c r="E5" s="20" t="s">
        <v>371</v>
      </c>
      <c r="F5" s="21" t="s">
        <v>373</v>
      </c>
      <c r="G5" s="20" t="s">
        <v>371</v>
      </c>
      <c r="H5" s="21" t="s">
        <v>373</v>
      </c>
      <c r="I5" s="22" t="s">
        <v>372</v>
      </c>
      <c r="J5" s="20" t="s">
        <v>371</v>
      </c>
      <c r="K5" s="21" t="s">
        <v>373</v>
      </c>
      <c r="L5" s="20" t="s">
        <v>371</v>
      </c>
      <c r="M5" s="21" t="s">
        <v>373</v>
      </c>
      <c r="N5" s="20" t="s">
        <v>371</v>
      </c>
      <c r="O5" s="21" t="s">
        <v>373</v>
      </c>
      <c r="P5" s="20" t="s">
        <v>371</v>
      </c>
      <c r="Q5" s="21" t="s">
        <v>373</v>
      </c>
      <c r="R5" s="21" t="s">
        <v>373</v>
      </c>
      <c r="S5" s="22" t="s">
        <v>372</v>
      </c>
      <c r="T5" s="23">
        <f t="shared" si="0"/>
        <v>7</v>
      </c>
    </row>
    <row r="6" spans="1:20" ht="15" customHeight="1" x14ac:dyDescent="0.35">
      <c r="A6" s="19" t="s">
        <v>80</v>
      </c>
      <c r="B6" s="20" t="s">
        <v>371</v>
      </c>
      <c r="C6" s="20" t="s">
        <v>371</v>
      </c>
      <c r="D6" s="20" t="s">
        <v>371</v>
      </c>
      <c r="E6" s="24" t="s">
        <v>374</v>
      </c>
      <c r="F6" s="20" t="s">
        <v>371</v>
      </c>
      <c r="G6" s="20" t="s">
        <v>371</v>
      </c>
      <c r="H6" s="24" t="s">
        <v>374</v>
      </c>
      <c r="I6" s="22" t="s">
        <v>372</v>
      </c>
      <c r="J6" s="20" t="s">
        <v>371</v>
      </c>
      <c r="K6" s="24" t="s">
        <v>374</v>
      </c>
      <c r="L6" s="20" t="s">
        <v>371</v>
      </c>
      <c r="M6" s="20" t="s">
        <v>371</v>
      </c>
      <c r="N6" s="21" t="s">
        <v>373</v>
      </c>
      <c r="O6" s="21" t="s">
        <v>373</v>
      </c>
      <c r="P6" s="20" t="s">
        <v>371</v>
      </c>
      <c r="Q6" s="20" t="s">
        <v>371</v>
      </c>
      <c r="R6" s="21" t="s">
        <v>373</v>
      </c>
      <c r="S6" s="21" t="s">
        <v>373</v>
      </c>
      <c r="T6" s="23">
        <f t="shared" si="0"/>
        <v>11.5</v>
      </c>
    </row>
    <row r="7" spans="1:20" ht="15" customHeight="1" x14ac:dyDescent="0.35">
      <c r="A7" s="19" t="s">
        <v>94</v>
      </c>
      <c r="B7" s="20" t="s">
        <v>371</v>
      </c>
      <c r="C7" s="22" t="s">
        <v>372</v>
      </c>
      <c r="D7" s="24" t="s">
        <v>374</v>
      </c>
      <c r="E7" s="24" t="s">
        <v>374</v>
      </c>
      <c r="F7" s="20" t="s">
        <v>371</v>
      </c>
      <c r="G7" s="20" t="s">
        <v>371</v>
      </c>
      <c r="H7" s="20" t="s">
        <v>371</v>
      </c>
      <c r="I7" s="20" t="s">
        <v>371</v>
      </c>
      <c r="J7" s="20" t="s">
        <v>371</v>
      </c>
      <c r="K7" s="24" t="s">
        <v>374</v>
      </c>
      <c r="L7" s="20" t="s">
        <v>371</v>
      </c>
      <c r="M7" s="20" t="s">
        <v>371</v>
      </c>
      <c r="N7" s="20" t="s">
        <v>371</v>
      </c>
      <c r="O7" s="24" t="s">
        <v>374</v>
      </c>
      <c r="P7" s="24" t="s">
        <v>374</v>
      </c>
      <c r="Q7" s="20" t="s">
        <v>371</v>
      </c>
      <c r="R7" s="21" t="s">
        <v>373</v>
      </c>
      <c r="S7" s="22" t="s">
        <v>372</v>
      </c>
      <c r="T7" s="23">
        <f t="shared" si="0"/>
        <v>12.5</v>
      </c>
    </row>
    <row r="8" spans="1:20" ht="15" customHeight="1" x14ac:dyDescent="0.35">
      <c r="A8" s="19" t="s">
        <v>108</v>
      </c>
      <c r="B8" s="20" t="s">
        <v>371</v>
      </c>
      <c r="C8" s="21" t="s">
        <v>373</v>
      </c>
      <c r="D8" s="21" t="s">
        <v>373</v>
      </c>
      <c r="E8" s="20" t="s">
        <v>371</v>
      </c>
      <c r="F8" s="24" t="s">
        <v>374</v>
      </c>
      <c r="G8" s="20" t="s">
        <v>371</v>
      </c>
      <c r="H8" s="20" t="s">
        <v>371</v>
      </c>
      <c r="I8" s="24" t="s">
        <v>374</v>
      </c>
      <c r="J8" s="20" t="s">
        <v>371</v>
      </c>
      <c r="K8" s="21" t="s">
        <v>373</v>
      </c>
      <c r="L8" s="20" t="s">
        <v>371</v>
      </c>
      <c r="M8" s="21" t="s">
        <v>373</v>
      </c>
      <c r="N8" s="20" t="s">
        <v>371</v>
      </c>
      <c r="O8" s="21" t="s">
        <v>373</v>
      </c>
      <c r="P8" s="21" t="s">
        <v>373</v>
      </c>
      <c r="Q8" s="21" t="s">
        <v>373</v>
      </c>
      <c r="R8" s="21" t="s">
        <v>373</v>
      </c>
      <c r="S8" s="22" t="s">
        <v>372</v>
      </c>
      <c r="T8" s="23">
        <f t="shared" si="0"/>
        <v>8</v>
      </c>
    </row>
    <row r="9" spans="1:20" ht="15" customHeight="1" x14ac:dyDescent="0.35">
      <c r="A9" s="19" t="s">
        <v>118</v>
      </c>
      <c r="B9" s="20" t="s">
        <v>371</v>
      </c>
      <c r="C9" s="22" t="s">
        <v>372</v>
      </c>
      <c r="D9" s="22" t="s">
        <v>372</v>
      </c>
      <c r="E9" s="24" t="s">
        <v>374</v>
      </c>
      <c r="F9" s="24" t="s">
        <v>374</v>
      </c>
      <c r="G9" s="20" t="s">
        <v>371</v>
      </c>
      <c r="H9" s="22" t="s">
        <v>372</v>
      </c>
      <c r="I9" s="22" t="s">
        <v>372</v>
      </c>
      <c r="J9" s="24" t="s">
        <v>374</v>
      </c>
      <c r="K9" s="22" t="s">
        <v>372</v>
      </c>
      <c r="L9" s="20" t="s">
        <v>371</v>
      </c>
      <c r="M9" s="24" t="s">
        <v>374</v>
      </c>
      <c r="N9" s="24" t="s">
        <v>374</v>
      </c>
      <c r="O9" s="22" t="s">
        <v>372</v>
      </c>
      <c r="P9" s="24" t="s">
        <v>374</v>
      </c>
      <c r="Q9" s="21" t="s">
        <v>373</v>
      </c>
      <c r="R9" s="22" t="s">
        <v>372</v>
      </c>
      <c r="S9" s="20" t="s">
        <v>371</v>
      </c>
      <c r="T9" s="23">
        <f t="shared" si="0"/>
        <v>7</v>
      </c>
    </row>
    <row r="10" spans="1:20" ht="15" customHeight="1" x14ac:dyDescent="0.35">
      <c r="A10" s="19" t="s">
        <v>133</v>
      </c>
      <c r="B10" s="20" t="s">
        <v>371</v>
      </c>
      <c r="C10" s="21" t="s">
        <v>373</v>
      </c>
      <c r="D10" s="21" t="s">
        <v>373</v>
      </c>
      <c r="E10" s="24" t="s">
        <v>374</v>
      </c>
      <c r="F10" s="20" t="s">
        <v>371</v>
      </c>
      <c r="G10" s="21" t="s">
        <v>373</v>
      </c>
      <c r="H10" s="21" t="s">
        <v>373</v>
      </c>
      <c r="I10" s="22" t="s">
        <v>372</v>
      </c>
      <c r="J10" s="20" t="s">
        <v>371</v>
      </c>
      <c r="K10" s="21" t="s">
        <v>373</v>
      </c>
      <c r="L10" s="21" t="s">
        <v>373</v>
      </c>
      <c r="M10" s="21" t="s">
        <v>373</v>
      </c>
      <c r="N10" s="21" t="s">
        <v>373</v>
      </c>
      <c r="O10" s="21" t="s">
        <v>373</v>
      </c>
      <c r="P10" s="21" t="s">
        <v>373</v>
      </c>
      <c r="Q10" s="21" t="s">
        <v>373</v>
      </c>
      <c r="R10" s="21" t="s">
        <v>373</v>
      </c>
      <c r="S10" s="21" t="s">
        <v>373</v>
      </c>
      <c r="T10" s="23">
        <f t="shared" si="0"/>
        <v>3.5</v>
      </c>
    </row>
    <row r="11" spans="1:20" ht="15" customHeight="1" x14ac:dyDescent="0.35">
      <c r="A11" s="19" t="s">
        <v>145</v>
      </c>
      <c r="B11" s="20" t="s">
        <v>371</v>
      </c>
      <c r="C11" s="20" t="s">
        <v>371</v>
      </c>
      <c r="D11" s="20" t="s">
        <v>371</v>
      </c>
      <c r="E11" s="24" t="s">
        <v>374</v>
      </c>
      <c r="F11" s="20" t="s">
        <v>371</v>
      </c>
      <c r="G11" s="24" t="s">
        <v>374</v>
      </c>
      <c r="H11" s="24" t="s">
        <v>374</v>
      </c>
      <c r="I11" s="22" t="s">
        <v>372</v>
      </c>
      <c r="J11" s="20" t="s">
        <v>371</v>
      </c>
      <c r="K11" s="24" t="s">
        <v>374</v>
      </c>
      <c r="L11" s="20" t="s">
        <v>371</v>
      </c>
      <c r="M11" s="20" t="s">
        <v>371</v>
      </c>
      <c r="N11" s="20" t="s">
        <v>371</v>
      </c>
      <c r="O11" s="20" t="s">
        <v>371</v>
      </c>
      <c r="P11" s="20" t="s">
        <v>371</v>
      </c>
      <c r="Q11" s="20" t="s">
        <v>371</v>
      </c>
      <c r="R11" s="21" t="s">
        <v>373</v>
      </c>
      <c r="S11" s="22" t="s">
        <v>372</v>
      </c>
      <c r="T11" s="23">
        <f t="shared" si="0"/>
        <v>13</v>
      </c>
    </row>
    <row r="12" spans="1:20" ht="15" customHeight="1" x14ac:dyDescent="0.35">
      <c r="A12" s="19" t="s">
        <v>157</v>
      </c>
      <c r="B12" s="20" t="s">
        <v>371</v>
      </c>
      <c r="C12" s="20" t="s">
        <v>371</v>
      </c>
      <c r="D12" s="20" t="s">
        <v>371</v>
      </c>
      <c r="E12" s="20" t="s">
        <v>371</v>
      </c>
      <c r="F12" s="20" t="s">
        <v>371</v>
      </c>
      <c r="G12" s="24" t="s">
        <v>374</v>
      </c>
      <c r="H12" s="20" t="s">
        <v>371</v>
      </c>
      <c r="I12" s="22" t="s">
        <v>372</v>
      </c>
      <c r="J12" s="20" t="s">
        <v>371</v>
      </c>
      <c r="K12" s="21" t="s">
        <v>373</v>
      </c>
      <c r="L12" s="20" t="s">
        <v>371</v>
      </c>
      <c r="M12" s="21" t="s">
        <v>373</v>
      </c>
      <c r="N12" s="20" t="s">
        <v>371</v>
      </c>
      <c r="O12" s="21" t="s">
        <v>373</v>
      </c>
      <c r="P12" s="21" t="s">
        <v>373</v>
      </c>
      <c r="Q12" s="21" t="s">
        <v>373</v>
      </c>
      <c r="R12" s="21" t="s">
        <v>373</v>
      </c>
      <c r="S12" s="22" t="s">
        <v>372</v>
      </c>
      <c r="T12" s="23">
        <f t="shared" si="0"/>
        <v>9.5</v>
      </c>
    </row>
    <row r="13" spans="1:20" ht="15" customHeight="1" x14ac:dyDescent="0.35">
      <c r="A13" s="19" t="s">
        <v>168</v>
      </c>
      <c r="B13" s="20" t="s">
        <v>371</v>
      </c>
      <c r="C13" s="20" t="s">
        <v>371</v>
      </c>
      <c r="D13" s="24" t="s">
        <v>374</v>
      </c>
      <c r="E13" s="20" t="s">
        <v>371</v>
      </c>
      <c r="F13" s="20" t="s">
        <v>371</v>
      </c>
      <c r="G13" s="24" t="s">
        <v>374</v>
      </c>
      <c r="H13" s="22" t="s">
        <v>372</v>
      </c>
      <c r="I13" s="22" t="s">
        <v>372</v>
      </c>
      <c r="J13" s="20" t="s">
        <v>371</v>
      </c>
      <c r="K13" s="24" t="s">
        <v>374</v>
      </c>
      <c r="L13" s="20" t="s">
        <v>371</v>
      </c>
      <c r="M13" s="21" t="s">
        <v>373</v>
      </c>
      <c r="N13" s="20" t="s">
        <v>371</v>
      </c>
      <c r="O13" s="21" t="s">
        <v>373</v>
      </c>
      <c r="P13" s="20" t="s">
        <v>371</v>
      </c>
      <c r="Q13" s="21" t="s">
        <v>373</v>
      </c>
      <c r="R13" s="21" t="s">
        <v>373</v>
      </c>
      <c r="S13" s="22" t="s">
        <v>372</v>
      </c>
      <c r="T13" s="23">
        <f t="shared" si="0"/>
        <v>9.5</v>
      </c>
    </row>
    <row r="14" spans="1:20" ht="15" customHeight="1" x14ac:dyDescent="0.35">
      <c r="A14" s="19" t="s">
        <v>179</v>
      </c>
      <c r="B14" s="24" t="s">
        <v>374</v>
      </c>
      <c r="C14" s="20" t="s">
        <v>371</v>
      </c>
      <c r="D14" s="24" t="s">
        <v>374</v>
      </c>
      <c r="E14" s="24" t="s">
        <v>374</v>
      </c>
      <c r="F14" s="20" t="s">
        <v>371</v>
      </c>
      <c r="G14" s="22" t="s">
        <v>372</v>
      </c>
      <c r="H14" s="22" t="s">
        <v>372</v>
      </c>
      <c r="I14" s="22" t="s">
        <v>372</v>
      </c>
      <c r="J14" s="20" t="s">
        <v>371</v>
      </c>
      <c r="K14" s="22" t="s">
        <v>372</v>
      </c>
      <c r="L14" s="20" t="s">
        <v>371</v>
      </c>
      <c r="M14" s="21" t="s">
        <v>373</v>
      </c>
      <c r="N14" s="24" t="s">
        <v>374</v>
      </c>
      <c r="O14" s="21" t="s">
        <v>373</v>
      </c>
      <c r="P14" s="21" t="s">
        <v>373</v>
      </c>
      <c r="Q14" s="21" t="s">
        <v>373</v>
      </c>
      <c r="R14" s="21" t="s">
        <v>373</v>
      </c>
      <c r="S14" s="22" t="s">
        <v>372</v>
      </c>
      <c r="T14" s="23">
        <f t="shared" si="0"/>
        <v>6</v>
      </c>
    </row>
    <row r="15" spans="1:20" ht="15" customHeight="1" x14ac:dyDescent="0.35">
      <c r="A15" s="19" t="s">
        <v>188</v>
      </c>
      <c r="B15" s="20" t="s">
        <v>371</v>
      </c>
      <c r="C15" s="22" t="s">
        <v>372</v>
      </c>
      <c r="D15" s="22" t="s">
        <v>372</v>
      </c>
      <c r="E15" s="24" t="s">
        <v>374</v>
      </c>
      <c r="F15" s="20" t="s">
        <v>371</v>
      </c>
      <c r="G15" s="20" t="s">
        <v>371</v>
      </c>
      <c r="H15" s="22" t="s">
        <v>372</v>
      </c>
      <c r="I15" s="22" t="s">
        <v>372</v>
      </c>
      <c r="J15" s="20" t="s">
        <v>371</v>
      </c>
      <c r="K15" s="22" t="s">
        <v>372</v>
      </c>
      <c r="L15" s="20" t="s">
        <v>371</v>
      </c>
      <c r="M15" s="21" t="s">
        <v>373</v>
      </c>
      <c r="N15" s="24" t="s">
        <v>374</v>
      </c>
      <c r="O15" s="21" t="s">
        <v>373</v>
      </c>
      <c r="P15" s="21" t="s">
        <v>373</v>
      </c>
      <c r="Q15" s="21" t="s">
        <v>373</v>
      </c>
      <c r="R15" s="22" t="s">
        <v>372</v>
      </c>
      <c r="S15" s="21" t="s">
        <v>373</v>
      </c>
      <c r="T15" s="23">
        <f t="shared" si="0"/>
        <v>6</v>
      </c>
    </row>
    <row r="16" spans="1:20" ht="15" customHeight="1" x14ac:dyDescent="0.35">
      <c r="A16" s="19" t="s">
        <v>199</v>
      </c>
      <c r="B16" s="24" t="s">
        <v>374</v>
      </c>
      <c r="C16" s="20" t="s">
        <v>371</v>
      </c>
      <c r="D16" s="20" t="s">
        <v>371</v>
      </c>
      <c r="E16" s="22" t="s">
        <v>372</v>
      </c>
      <c r="F16" s="20" t="s">
        <v>371</v>
      </c>
      <c r="G16" s="22" t="s">
        <v>372</v>
      </c>
      <c r="H16" s="22" t="s">
        <v>372</v>
      </c>
      <c r="I16" s="22" t="s">
        <v>372</v>
      </c>
      <c r="J16" s="20" t="s">
        <v>371</v>
      </c>
      <c r="K16" s="22" t="s">
        <v>372</v>
      </c>
      <c r="L16" s="24" t="s">
        <v>374</v>
      </c>
      <c r="M16" s="21" t="s">
        <v>373</v>
      </c>
      <c r="N16" s="21" t="s">
        <v>373</v>
      </c>
      <c r="O16" s="21" t="s">
        <v>373</v>
      </c>
      <c r="P16" s="21" t="s">
        <v>373</v>
      </c>
      <c r="Q16" s="21" t="s">
        <v>373</v>
      </c>
      <c r="R16" s="21" t="s">
        <v>373</v>
      </c>
      <c r="S16" s="22" t="s">
        <v>372</v>
      </c>
      <c r="T16" s="23">
        <f t="shared" si="0"/>
        <v>5</v>
      </c>
    </row>
    <row r="17" spans="1:20" ht="15" customHeight="1" x14ac:dyDescent="0.35">
      <c r="A17" s="19" t="s">
        <v>206</v>
      </c>
      <c r="B17" s="24" t="s">
        <v>374</v>
      </c>
      <c r="C17" s="20" t="s">
        <v>371</v>
      </c>
      <c r="D17" s="22" t="s">
        <v>372</v>
      </c>
      <c r="E17" s="24" t="s">
        <v>374</v>
      </c>
      <c r="F17" s="22" t="s">
        <v>372</v>
      </c>
      <c r="G17" s="22" t="s">
        <v>372</v>
      </c>
      <c r="H17" s="22" t="s">
        <v>372</v>
      </c>
      <c r="I17" s="22" t="s">
        <v>372</v>
      </c>
      <c r="J17" s="20" t="s">
        <v>371</v>
      </c>
      <c r="K17" s="22" t="s">
        <v>372</v>
      </c>
      <c r="L17" s="24" t="s">
        <v>374</v>
      </c>
      <c r="M17" s="21" t="s">
        <v>373</v>
      </c>
      <c r="N17" s="21" t="s">
        <v>373</v>
      </c>
      <c r="O17" s="21" t="s">
        <v>373</v>
      </c>
      <c r="P17" s="21" t="s">
        <v>373</v>
      </c>
      <c r="Q17" s="21" t="s">
        <v>373</v>
      </c>
      <c r="R17" s="21" t="s">
        <v>373</v>
      </c>
      <c r="S17" s="22" t="s">
        <v>372</v>
      </c>
      <c r="T17" s="23">
        <f t="shared" si="0"/>
        <v>3.5</v>
      </c>
    </row>
    <row r="18" spans="1:20" ht="15" customHeight="1" x14ac:dyDescent="0.35">
      <c r="A18" s="19" t="s">
        <v>212</v>
      </c>
      <c r="B18" s="22" t="s">
        <v>372</v>
      </c>
      <c r="C18" s="22" t="s">
        <v>372</v>
      </c>
      <c r="D18" s="22" t="s">
        <v>372</v>
      </c>
      <c r="E18" s="24" t="s">
        <v>374</v>
      </c>
      <c r="F18" s="22" t="s">
        <v>372</v>
      </c>
      <c r="G18" s="22" t="s">
        <v>372</v>
      </c>
      <c r="H18" s="22" t="s">
        <v>372</v>
      </c>
      <c r="I18" s="22" t="s">
        <v>372</v>
      </c>
      <c r="J18" s="24" t="s">
        <v>374</v>
      </c>
      <c r="K18" s="22" t="s">
        <v>372</v>
      </c>
      <c r="L18" s="20" t="s">
        <v>371</v>
      </c>
      <c r="M18" s="21" t="s">
        <v>373</v>
      </c>
      <c r="N18" s="22" t="s">
        <v>372</v>
      </c>
      <c r="O18" s="22" t="s">
        <v>372</v>
      </c>
      <c r="P18" s="22" t="s">
        <v>372</v>
      </c>
      <c r="Q18" s="21" t="s">
        <v>373</v>
      </c>
      <c r="R18" s="21" t="s">
        <v>373</v>
      </c>
      <c r="S18" s="22" t="s">
        <v>372</v>
      </c>
      <c r="T18" s="23">
        <f t="shared" si="0"/>
        <v>2</v>
      </c>
    </row>
    <row r="19" spans="1:20" ht="15" customHeight="1" x14ac:dyDescent="0.35">
      <c r="A19" s="19" t="s">
        <v>218</v>
      </c>
      <c r="B19" s="22" t="s">
        <v>372</v>
      </c>
      <c r="C19" s="24" t="s">
        <v>374</v>
      </c>
      <c r="D19" s="22" t="s">
        <v>372</v>
      </c>
      <c r="E19" s="22" t="s">
        <v>372</v>
      </c>
      <c r="F19" s="20" t="s">
        <v>371</v>
      </c>
      <c r="G19" s="22" t="s">
        <v>372</v>
      </c>
      <c r="H19" s="22" t="s">
        <v>372</v>
      </c>
      <c r="I19" s="22" t="s">
        <v>372</v>
      </c>
      <c r="J19" s="24" t="s">
        <v>374</v>
      </c>
      <c r="K19" s="22" t="s">
        <v>372</v>
      </c>
      <c r="L19" s="20" t="s">
        <v>371</v>
      </c>
      <c r="M19" s="21" t="s">
        <v>373</v>
      </c>
      <c r="N19" s="22" t="s">
        <v>372</v>
      </c>
      <c r="O19" s="21" t="s">
        <v>373</v>
      </c>
      <c r="P19" s="22" t="s">
        <v>372</v>
      </c>
      <c r="Q19" s="21" t="s">
        <v>373</v>
      </c>
      <c r="R19" s="21" t="s">
        <v>373</v>
      </c>
      <c r="S19" s="22" t="s">
        <v>372</v>
      </c>
      <c r="T19" s="23">
        <f t="shared" si="0"/>
        <v>3</v>
      </c>
    </row>
    <row r="20" spans="1:20" ht="15" customHeight="1" x14ac:dyDescent="0.35">
      <c r="A20" s="19" t="s">
        <v>224</v>
      </c>
      <c r="B20" s="20" t="s">
        <v>371</v>
      </c>
      <c r="C20" s="22" t="s">
        <v>372</v>
      </c>
      <c r="D20" s="22" t="s">
        <v>372</v>
      </c>
      <c r="E20" s="22" t="s">
        <v>372</v>
      </c>
      <c r="F20" s="24" t="s">
        <v>374</v>
      </c>
      <c r="G20" s="20" t="s">
        <v>371</v>
      </c>
      <c r="H20" s="24" t="s">
        <v>374</v>
      </c>
      <c r="I20" s="24" t="s">
        <v>374</v>
      </c>
      <c r="J20" s="24" t="s">
        <v>374</v>
      </c>
      <c r="K20" s="22" t="s">
        <v>372</v>
      </c>
      <c r="L20" s="20" t="s">
        <v>371</v>
      </c>
      <c r="M20" s="20" t="s">
        <v>371</v>
      </c>
      <c r="N20" s="24" t="s">
        <v>374</v>
      </c>
      <c r="O20" s="21" t="s">
        <v>373</v>
      </c>
      <c r="P20" s="22" t="s">
        <v>372</v>
      </c>
      <c r="Q20" s="20" t="s">
        <v>371</v>
      </c>
      <c r="R20" s="21" t="s">
        <v>373</v>
      </c>
      <c r="S20" s="22" t="s">
        <v>372</v>
      </c>
      <c r="T20" s="23">
        <f t="shared" si="0"/>
        <v>7.5</v>
      </c>
    </row>
    <row r="21" spans="1:20" ht="15" customHeight="1" x14ac:dyDescent="0.35">
      <c r="A21" s="19" t="s">
        <v>237</v>
      </c>
      <c r="B21" s="20" t="s">
        <v>371</v>
      </c>
      <c r="C21" s="22" t="s">
        <v>372</v>
      </c>
      <c r="D21" s="22" t="s">
        <v>372</v>
      </c>
      <c r="E21" s="22" t="s">
        <v>372</v>
      </c>
      <c r="F21" s="22" t="s">
        <v>372</v>
      </c>
      <c r="G21" s="20" t="s">
        <v>371</v>
      </c>
      <c r="H21" s="24" t="s">
        <v>374</v>
      </c>
      <c r="I21" s="22" t="s">
        <v>372</v>
      </c>
      <c r="J21" s="24" t="s">
        <v>374</v>
      </c>
      <c r="K21" s="22" t="s">
        <v>372</v>
      </c>
      <c r="L21" s="20" t="s">
        <v>371</v>
      </c>
      <c r="M21" s="20" t="s">
        <v>371</v>
      </c>
      <c r="N21" s="24" t="s">
        <v>374</v>
      </c>
      <c r="O21" s="21" t="s">
        <v>373</v>
      </c>
      <c r="P21" s="22" t="s">
        <v>372</v>
      </c>
      <c r="Q21" s="21" t="s">
        <v>373</v>
      </c>
      <c r="R21" s="21" t="s">
        <v>373</v>
      </c>
      <c r="S21" s="22" t="s">
        <v>372</v>
      </c>
      <c r="T21" s="23">
        <f t="shared" si="0"/>
        <v>5.5</v>
      </c>
    </row>
    <row r="22" spans="1:20" ht="15" customHeight="1" x14ac:dyDescent="0.35">
      <c r="A22" s="19" t="s">
        <v>244</v>
      </c>
      <c r="B22" s="20" t="s">
        <v>371</v>
      </c>
      <c r="C22" s="22" t="s">
        <v>372</v>
      </c>
      <c r="D22" s="22" t="s">
        <v>372</v>
      </c>
      <c r="E22" s="20" t="s">
        <v>371</v>
      </c>
      <c r="F22" s="22" t="s">
        <v>372</v>
      </c>
      <c r="G22" s="22" t="s">
        <v>372</v>
      </c>
      <c r="H22" s="22" t="s">
        <v>372</v>
      </c>
      <c r="I22" s="22" t="s">
        <v>372</v>
      </c>
      <c r="J22" s="20" t="s">
        <v>371</v>
      </c>
      <c r="K22" s="24" t="s">
        <v>374</v>
      </c>
      <c r="L22" s="24" t="s">
        <v>374</v>
      </c>
      <c r="M22" s="21" t="s">
        <v>373</v>
      </c>
      <c r="N22" s="24" t="s">
        <v>374</v>
      </c>
      <c r="O22" s="21" t="s">
        <v>373</v>
      </c>
      <c r="P22" s="24" t="s">
        <v>374</v>
      </c>
      <c r="Q22" s="21" t="s">
        <v>373</v>
      </c>
      <c r="R22" s="21" t="s">
        <v>373</v>
      </c>
      <c r="S22" s="22" t="s">
        <v>372</v>
      </c>
      <c r="T22" s="23">
        <f t="shared" si="0"/>
        <v>5</v>
      </c>
    </row>
    <row r="23" spans="1:20" ht="15" customHeight="1" x14ac:dyDescent="0.35">
      <c r="A23" s="19" t="s">
        <v>259</v>
      </c>
      <c r="B23" s="20" t="s">
        <v>371</v>
      </c>
      <c r="C23" s="22" t="s">
        <v>372</v>
      </c>
      <c r="D23" s="20" t="s">
        <v>371</v>
      </c>
      <c r="E23" s="22" t="s">
        <v>372</v>
      </c>
      <c r="F23" s="22" t="s">
        <v>372</v>
      </c>
      <c r="G23" s="24" t="s">
        <v>374</v>
      </c>
      <c r="H23" s="22" t="s">
        <v>372</v>
      </c>
      <c r="I23" s="22" t="s">
        <v>372</v>
      </c>
      <c r="J23" s="22" t="s">
        <v>372</v>
      </c>
      <c r="K23" s="22" t="s">
        <v>372</v>
      </c>
      <c r="L23" s="24" t="s">
        <v>374</v>
      </c>
      <c r="M23" s="21" t="s">
        <v>373</v>
      </c>
      <c r="N23" s="24" t="s">
        <v>374</v>
      </c>
      <c r="O23" s="24" t="s">
        <v>374</v>
      </c>
      <c r="P23" s="24" t="s">
        <v>374</v>
      </c>
      <c r="Q23" s="20" t="s">
        <v>371</v>
      </c>
      <c r="R23" s="21" t="s">
        <v>373</v>
      </c>
      <c r="S23" s="22" t="s">
        <v>372</v>
      </c>
      <c r="T23" s="23">
        <f t="shared" si="0"/>
        <v>5.5</v>
      </c>
    </row>
    <row r="24" spans="1:20" ht="15" customHeight="1" x14ac:dyDescent="0.35">
      <c r="A24" s="19" t="s">
        <v>270</v>
      </c>
      <c r="B24" s="22" t="s">
        <v>372</v>
      </c>
      <c r="C24" s="22" t="s">
        <v>372</v>
      </c>
      <c r="D24" s="22" t="s">
        <v>372</v>
      </c>
      <c r="E24" s="20" t="s">
        <v>371</v>
      </c>
      <c r="F24" s="24" t="s">
        <v>374</v>
      </c>
      <c r="G24" s="22" t="s">
        <v>372</v>
      </c>
      <c r="H24" s="22" t="s">
        <v>372</v>
      </c>
      <c r="I24" s="22" t="s">
        <v>372</v>
      </c>
      <c r="J24" s="20" t="s">
        <v>371</v>
      </c>
      <c r="K24" s="22" t="s">
        <v>372</v>
      </c>
      <c r="L24" s="24" t="s">
        <v>374</v>
      </c>
      <c r="M24" s="20" t="s">
        <v>371</v>
      </c>
      <c r="N24" s="22" t="s">
        <v>372</v>
      </c>
      <c r="O24" s="22" t="s">
        <v>372</v>
      </c>
      <c r="P24" s="22" t="s">
        <v>372</v>
      </c>
      <c r="Q24" s="20" t="s">
        <v>371</v>
      </c>
      <c r="R24" s="22" t="s">
        <v>372</v>
      </c>
      <c r="S24" s="20" t="s">
        <v>371</v>
      </c>
      <c r="T24" s="23">
        <f t="shared" si="0"/>
        <v>6</v>
      </c>
    </row>
    <row r="25" spans="1:20" ht="15" customHeight="1" x14ac:dyDescent="0.35">
      <c r="A25" s="19" t="s">
        <v>284</v>
      </c>
      <c r="B25" s="24" t="s">
        <v>374</v>
      </c>
      <c r="C25" s="22" t="s">
        <v>372</v>
      </c>
      <c r="D25" s="22" t="s">
        <v>372</v>
      </c>
      <c r="E25" s="20" t="s">
        <v>371</v>
      </c>
      <c r="F25" s="22" t="s">
        <v>372</v>
      </c>
      <c r="G25" s="22" t="s">
        <v>372</v>
      </c>
      <c r="H25" s="22" t="s">
        <v>372</v>
      </c>
      <c r="I25" s="22" t="s">
        <v>372</v>
      </c>
      <c r="J25" s="24" t="s">
        <v>374</v>
      </c>
      <c r="K25" s="22" t="s">
        <v>372</v>
      </c>
      <c r="L25" s="24" t="s">
        <v>374</v>
      </c>
      <c r="M25" s="22" t="s">
        <v>372</v>
      </c>
      <c r="N25" s="22" t="s">
        <v>372</v>
      </c>
      <c r="O25" s="22" t="s">
        <v>372</v>
      </c>
      <c r="P25" s="22" t="s">
        <v>372</v>
      </c>
      <c r="Q25" s="21" t="s">
        <v>373</v>
      </c>
      <c r="R25" s="22" t="s">
        <v>372</v>
      </c>
      <c r="S25" s="20" t="s">
        <v>371</v>
      </c>
      <c r="T25" s="23">
        <f t="shared" si="0"/>
        <v>3.5</v>
      </c>
    </row>
    <row r="26" spans="1:20" ht="15" customHeight="1" x14ac:dyDescent="0.35">
      <c r="A26" s="19" t="s">
        <v>293</v>
      </c>
      <c r="B26" s="22" t="s">
        <v>372</v>
      </c>
      <c r="C26" s="22" t="s">
        <v>372</v>
      </c>
      <c r="D26" s="22" t="s">
        <v>372</v>
      </c>
      <c r="E26" s="20" t="s">
        <v>371</v>
      </c>
      <c r="F26" s="22" t="s">
        <v>372</v>
      </c>
      <c r="G26" s="22" t="s">
        <v>372</v>
      </c>
      <c r="H26" s="22" t="s">
        <v>372</v>
      </c>
      <c r="I26" s="22" t="s">
        <v>372</v>
      </c>
      <c r="J26" s="24" t="s">
        <v>374</v>
      </c>
      <c r="K26" s="22" t="s">
        <v>372</v>
      </c>
      <c r="L26" s="24" t="s">
        <v>374</v>
      </c>
      <c r="M26" s="21" t="s">
        <v>373</v>
      </c>
      <c r="N26" s="22" t="s">
        <v>372</v>
      </c>
      <c r="O26" s="22" t="s">
        <v>372</v>
      </c>
      <c r="P26" s="22" t="s">
        <v>372</v>
      </c>
      <c r="Q26" s="21" t="s">
        <v>373</v>
      </c>
      <c r="R26" s="22" t="s">
        <v>372</v>
      </c>
      <c r="S26" s="21" t="s">
        <v>373</v>
      </c>
      <c r="T26" s="23">
        <f t="shared" si="0"/>
        <v>2</v>
      </c>
    </row>
    <row r="27" spans="1:20" ht="15" customHeight="1" x14ac:dyDescent="0.35">
      <c r="A27" s="19" t="s">
        <v>302</v>
      </c>
      <c r="B27" s="24" t="s">
        <v>374</v>
      </c>
      <c r="C27" s="22" t="s">
        <v>372</v>
      </c>
      <c r="D27" s="22" t="s">
        <v>372</v>
      </c>
      <c r="E27" s="22" t="s">
        <v>372</v>
      </c>
      <c r="F27" s="22" t="s">
        <v>372</v>
      </c>
      <c r="G27" s="20" t="s">
        <v>371</v>
      </c>
      <c r="H27" s="22" t="s">
        <v>372</v>
      </c>
      <c r="I27" s="20" t="s">
        <v>371</v>
      </c>
      <c r="J27" s="24" t="s">
        <v>374</v>
      </c>
      <c r="K27" s="21" t="s">
        <v>373</v>
      </c>
      <c r="L27" s="20" t="s">
        <v>371</v>
      </c>
      <c r="M27" s="20" t="s">
        <v>371</v>
      </c>
      <c r="N27" s="24" t="s">
        <v>374</v>
      </c>
      <c r="O27" s="21" t="s">
        <v>373</v>
      </c>
      <c r="P27" s="21" t="s">
        <v>373</v>
      </c>
      <c r="Q27" s="20" t="s">
        <v>371</v>
      </c>
      <c r="R27" s="21" t="s">
        <v>373</v>
      </c>
      <c r="S27" s="22" t="s">
        <v>372</v>
      </c>
      <c r="T27" s="23">
        <f t="shared" si="0"/>
        <v>6.5</v>
      </c>
    </row>
    <row r="28" spans="1:20" ht="15" customHeight="1" x14ac:dyDescent="0.35">
      <c r="A28" s="19" t="s">
        <v>375</v>
      </c>
      <c r="B28" s="24" t="s">
        <v>374</v>
      </c>
      <c r="C28" s="22" t="s">
        <v>372</v>
      </c>
      <c r="D28" s="22" t="s">
        <v>372</v>
      </c>
      <c r="E28" s="24" t="s">
        <v>374</v>
      </c>
      <c r="F28" s="20" t="s">
        <v>371</v>
      </c>
      <c r="G28" s="24" t="s">
        <v>374</v>
      </c>
      <c r="H28" s="20" t="s">
        <v>371</v>
      </c>
      <c r="I28" s="20" t="s">
        <v>371</v>
      </c>
      <c r="J28" s="20" t="s">
        <v>371</v>
      </c>
      <c r="K28" s="22" t="s">
        <v>372</v>
      </c>
      <c r="L28" s="20" t="s">
        <v>371</v>
      </c>
      <c r="M28" s="20" t="s">
        <v>371</v>
      </c>
      <c r="N28" s="22" t="s">
        <v>372</v>
      </c>
      <c r="O28" s="24" t="s">
        <v>374</v>
      </c>
      <c r="P28" s="22" t="s">
        <v>372</v>
      </c>
      <c r="Q28" s="20" t="s">
        <v>371</v>
      </c>
      <c r="R28" s="22" t="s">
        <v>372</v>
      </c>
      <c r="S28" s="22" t="s">
        <v>372</v>
      </c>
      <c r="T28" s="23">
        <f t="shared" si="0"/>
        <v>9</v>
      </c>
    </row>
    <row r="29" spans="1:20" ht="15" customHeight="1" x14ac:dyDescent="0.35">
      <c r="A29" s="19" t="s">
        <v>326</v>
      </c>
      <c r="B29" s="22" t="s">
        <v>372</v>
      </c>
      <c r="C29" s="22" t="s">
        <v>372</v>
      </c>
      <c r="D29" s="24" t="s">
        <v>374</v>
      </c>
      <c r="E29" s="22" t="s">
        <v>372</v>
      </c>
      <c r="F29" s="20" t="s">
        <v>371</v>
      </c>
      <c r="G29" s="22" t="s">
        <v>372</v>
      </c>
      <c r="H29" s="22" t="s">
        <v>372</v>
      </c>
      <c r="I29" s="22" t="s">
        <v>372</v>
      </c>
      <c r="J29" s="22" t="s">
        <v>372</v>
      </c>
      <c r="K29" s="22" t="s">
        <v>372</v>
      </c>
      <c r="L29" s="20" t="s">
        <v>371</v>
      </c>
      <c r="M29" s="20" t="s">
        <v>371</v>
      </c>
      <c r="N29" s="22" t="s">
        <v>372</v>
      </c>
      <c r="O29" s="24" t="s">
        <v>374</v>
      </c>
      <c r="P29" s="22" t="s">
        <v>372</v>
      </c>
      <c r="Q29" s="20" t="s">
        <v>371</v>
      </c>
      <c r="R29" s="22" t="s">
        <v>372</v>
      </c>
      <c r="S29" s="22" t="s">
        <v>372</v>
      </c>
      <c r="T29" s="23">
        <f t="shared" si="0"/>
        <v>5</v>
      </c>
    </row>
    <row r="31" spans="1:20" ht="15" customHeight="1" x14ac:dyDescent="0.35">
      <c r="A31" s="25" t="s">
        <v>376</v>
      </c>
    </row>
    <row r="32" spans="1:20" ht="15" customHeight="1" x14ac:dyDescent="0.35">
      <c r="A32" s="26" t="s">
        <v>371</v>
      </c>
    </row>
    <row r="33" spans="1:1" ht="15" customHeight="1" x14ac:dyDescent="0.35">
      <c r="A33" s="27" t="s">
        <v>374</v>
      </c>
    </row>
    <row r="34" spans="1:1" ht="15" customHeight="1" x14ac:dyDescent="0.35">
      <c r="A34" s="28" t="s">
        <v>372</v>
      </c>
    </row>
    <row r="35" spans="1:1" ht="15" customHeight="1" x14ac:dyDescent="0.35">
      <c r="A35" s="29" t="s">
        <v>373</v>
      </c>
    </row>
    <row r="36" spans="1:1" ht="15" customHeight="1" x14ac:dyDescent="0.35">
      <c r="A36" s="30" t="s">
        <v>377</v>
      </c>
    </row>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453125" defaultRowHeight="14.5" x14ac:dyDescent="0.35"/>
  <cols>
    <col min="1" max="1" width="24" customWidth="1"/>
    <col min="2" max="2" width="22" customWidth="1"/>
    <col min="3" max="3" width="34" customWidth="1"/>
    <col min="4" max="4" width="32" customWidth="1"/>
    <col min="5" max="5" width="24" customWidth="1"/>
    <col min="6" max="6" width="56" customWidth="1"/>
    <col min="7" max="7" width="34" customWidth="1"/>
    <col min="8" max="8" width="30" customWidth="1"/>
    <col min="9" max="9" width="16" customWidth="1"/>
    <col min="10" max="10" width="40" customWidth="1"/>
  </cols>
  <sheetData>
    <row r="1" spans="1:10" ht="21.75" customHeight="1" x14ac:dyDescent="0.4">
      <c r="A1" s="1" t="s">
        <v>378</v>
      </c>
    </row>
    <row r="2" spans="1:10" x14ac:dyDescent="0.35">
      <c r="A2" s="2" t="s">
        <v>379</v>
      </c>
    </row>
    <row r="3" spans="1:10" ht="42" customHeight="1" x14ac:dyDescent="0.35">
      <c r="A3" s="8" t="s">
        <v>31</v>
      </c>
      <c r="B3" s="8" t="s">
        <v>380</v>
      </c>
      <c r="C3" s="8" t="s">
        <v>381</v>
      </c>
      <c r="D3" s="8" t="s">
        <v>382</v>
      </c>
      <c r="E3" s="8" t="s">
        <v>383</v>
      </c>
      <c r="F3" s="8" t="s">
        <v>384</v>
      </c>
      <c r="G3" s="8" t="s">
        <v>385</v>
      </c>
      <c r="H3" s="8" t="s">
        <v>386</v>
      </c>
      <c r="I3" s="8" t="s">
        <v>387</v>
      </c>
      <c r="J3" s="8" t="s">
        <v>388</v>
      </c>
    </row>
    <row r="4" spans="1:10" ht="34.5" customHeight="1" x14ac:dyDescent="0.35">
      <c r="A4" s="9" t="s">
        <v>49</v>
      </c>
      <c r="B4" s="10" t="s">
        <v>389</v>
      </c>
      <c r="C4" s="10" t="s">
        <v>390</v>
      </c>
      <c r="D4" s="10" t="s">
        <v>391</v>
      </c>
      <c r="E4" s="10" t="s">
        <v>392</v>
      </c>
      <c r="F4" s="10" t="s">
        <v>393</v>
      </c>
      <c r="G4" s="10" t="s">
        <v>394</v>
      </c>
      <c r="H4" s="10" t="s">
        <v>395</v>
      </c>
      <c r="I4" s="10" t="s">
        <v>396</v>
      </c>
      <c r="J4" s="10" t="s">
        <v>397</v>
      </c>
    </row>
    <row r="5" spans="1:10" ht="15" customHeight="1" x14ac:dyDescent="0.35">
      <c r="A5" s="11" t="s">
        <v>66</v>
      </c>
      <c r="B5" s="11" t="s">
        <v>372</v>
      </c>
      <c r="C5" s="11" t="s">
        <v>398</v>
      </c>
      <c r="D5" s="11" t="s">
        <v>373</v>
      </c>
      <c r="E5" s="11" t="s">
        <v>392</v>
      </c>
      <c r="F5" s="11" t="s">
        <v>399</v>
      </c>
      <c r="G5" s="11" t="s">
        <v>373</v>
      </c>
      <c r="H5" s="11" t="s">
        <v>373</v>
      </c>
      <c r="I5" s="11" t="s">
        <v>400</v>
      </c>
      <c r="J5" s="11" t="s">
        <v>401</v>
      </c>
    </row>
    <row r="6" spans="1:10" ht="23" customHeight="1" x14ac:dyDescent="0.35">
      <c r="A6" s="11" t="s">
        <v>80</v>
      </c>
      <c r="B6" s="11" t="s">
        <v>372</v>
      </c>
      <c r="C6" s="11" t="s">
        <v>402</v>
      </c>
      <c r="D6" s="11" t="s">
        <v>373</v>
      </c>
      <c r="E6" s="11" t="s">
        <v>392</v>
      </c>
      <c r="F6" s="11" t="s">
        <v>403</v>
      </c>
      <c r="G6" s="11" t="s">
        <v>373</v>
      </c>
      <c r="H6" s="11" t="s">
        <v>373</v>
      </c>
      <c r="I6" s="11" t="s">
        <v>404</v>
      </c>
      <c r="J6" s="11" t="s">
        <v>405</v>
      </c>
    </row>
    <row r="7" spans="1:10" ht="15" customHeight="1" x14ac:dyDescent="0.35">
      <c r="A7" s="11" t="s">
        <v>94</v>
      </c>
      <c r="B7" s="11" t="s">
        <v>372</v>
      </c>
      <c r="C7" s="11" t="s">
        <v>406</v>
      </c>
      <c r="D7" s="11" t="s">
        <v>407</v>
      </c>
      <c r="E7" s="11" t="s">
        <v>392</v>
      </c>
      <c r="F7" s="11" t="s">
        <v>399</v>
      </c>
      <c r="G7" s="11" t="s">
        <v>373</v>
      </c>
      <c r="H7" s="11" t="s">
        <v>373</v>
      </c>
      <c r="I7" s="11" t="s">
        <v>400</v>
      </c>
      <c r="J7" s="11" t="s">
        <v>408</v>
      </c>
    </row>
    <row r="8" spans="1:10" ht="15" customHeight="1" x14ac:dyDescent="0.35">
      <c r="A8" s="11" t="s">
        <v>108</v>
      </c>
      <c r="B8" s="11" t="s">
        <v>372</v>
      </c>
      <c r="C8" s="11" t="s">
        <v>409</v>
      </c>
      <c r="D8" s="11" t="s">
        <v>373</v>
      </c>
      <c r="E8" s="11" t="s">
        <v>392</v>
      </c>
      <c r="F8" s="11" t="s">
        <v>399</v>
      </c>
      <c r="G8" s="11" t="s">
        <v>373</v>
      </c>
      <c r="H8" s="11" t="s">
        <v>373</v>
      </c>
      <c r="I8" s="11" t="s">
        <v>400</v>
      </c>
      <c r="J8" s="11" t="s">
        <v>401</v>
      </c>
    </row>
    <row r="9" spans="1:10" ht="21.75" customHeight="1" x14ac:dyDescent="0.35">
      <c r="A9" s="31" t="s">
        <v>118</v>
      </c>
      <c r="B9" s="31" t="s">
        <v>410</v>
      </c>
      <c r="C9" s="31" t="s">
        <v>411</v>
      </c>
      <c r="D9" s="31" t="s">
        <v>412</v>
      </c>
      <c r="E9" s="31" t="s">
        <v>413</v>
      </c>
      <c r="F9" s="31" t="s">
        <v>414</v>
      </c>
      <c r="G9" s="31" t="s">
        <v>373</v>
      </c>
      <c r="H9" s="31" t="s">
        <v>415</v>
      </c>
      <c r="I9" s="31" t="s">
        <v>416</v>
      </c>
      <c r="J9" s="31" t="s">
        <v>417</v>
      </c>
    </row>
    <row r="10" spans="1:10" ht="23" customHeight="1" x14ac:dyDescent="0.35">
      <c r="A10" s="11" t="s">
        <v>145</v>
      </c>
      <c r="B10" s="11" t="s">
        <v>418</v>
      </c>
      <c r="C10" s="11" t="s">
        <v>419</v>
      </c>
      <c r="D10" s="11" t="s">
        <v>420</v>
      </c>
      <c r="E10" s="11" t="s">
        <v>392</v>
      </c>
      <c r="F10" s="11" t="s">
        <v>421</v>
      </c>
      <c r="G10" s="11" t="s">
        <v>373</v>
      </c>
      <c r="H10" s="11" t="s">
        <v>373</v>
      </c>
      <c r="I10" s="11" t="s">
        <v>422</v>
      </c>
      <c r="J10" s="11" t="s">
        <v>423</v>
      </c>
    </row>
    <row r="11" spans="1:10" ht="15" customHeight="1" x14ac:dyDescent="0.35">
      <c r="A11" s="11" t="s">
        <v>157</v>
      </c>
      <c r="B11" s="11" t="s">
        <v>372</v>
      </c>
      <c r="C11" s="11" t="s">
        <v>409</v>
      </c>
      <c r="D11" s="11" t="s">
        <v>373</v>
      </c>
      <c r="E11" s="11" t="s">
        <v>392</v>
      </c>
      <c r="F11" s="11" t="s">
        <v>399</v>
      </c>
      <c r="G11" s="11" t="s">
        <v>373</v>
      </c>
      <c r="H11" s="11" t="s">
        <v>373</v>
      </c>
      <c r="I11" s="11" t="s">
        <v>400</v>
      </c>
      <c r="J11" s="11" t="s">
        <v>401</v>
      </c>
    </row>
    <row r="12" spans="1:10" ht="15" customHeight="1" x14ac:dyDescent="0.35">
      <c r="A12" s="11" t="s">
        <v>168</v>
      </c>
      <c r="B12" s="11" t="s">
        <v>372</v>
      </c>
      <c r="C12" s="11" t="s">
        <v>424</v>
      </c>
      <c r="D12" s="11" t="s">
        <v>373</v>
      </c>
      <c r="E12" s="11" t="s">
        <v>392</v>
      </c>
      <c r="F12" s="11" t="s">
        <v>399</v>
      </c>
      <c r="G12" s="11" t="s">
        <v>373</v>
      </c>
      <c r="H12" s="11" t="s">
        <v>373</v>
      </c>
      <c r="I12" s="11" t="s">
        <v>400</v>
      </c>
      <c r="J12" s="11" t="s">
        <v>401</v>
      </c>
    </row>
    <row r="13" spans="1:10" ht="15" customHeight="1" x14ac:dyDescent="0.35">
      <c r="A13" s="11" t="s">
        <v>179</v>
      </c>
      <c r="B13" s="11" t="s">
        <v>372</v>
      </c>
      <c r="C13" s="11" t="s">
        <v>425</v>
      </c>
      <c r="D13" s="11" t="s">
        <v>373</v>
      </c>
      <c r="E13" s="11" t="s">
        <v>392</v>
      </c>
      <c r="F13" s="11" t="s">
        <v>399</v>
      </c>
      <c r="G13" s="11" t="s">
        <v>373</v>
      </c>
      <c r="H13" s="11" t="s">
        <v>373</v>
      </c>
      <c r="I13" s="11" t="s">
        <v>400</v>
      </c>
      <c r="J13" s="11" t="s">
        <v>401</v>
      </c>
    </row>
    <row r="14" spans="1:10" ht="15" customHeight="1" x14ac:dyDescent="0.35">
      <c r="A14" s="11" t="s">
        <v>188</v>
      </c>
      <c r="B14" s="11" t="s">
        <v>372</v>
      </c>
      <c r="C14" s="11" t="s">
        <v>402</v>
      </c>
      <c r="D14" s="11" t="s">
        <v>426</v>
      </c>
      <c r="E14" s="11" t="s">
        <v>392</v>
      </c>
      <c r="F14" s="11" t="s">
        <v>399</v>
      </c>
      <c r="G14" s="11" t="s">
        <v>373</v>
      </c>
      <c r="H14" s="11" t="s">
        <v>373</v>
      </c>
      <c r="I14" s="11" t="s">
        <v>400</v>
      </c>
      <c r="J14" s="11" t="s">
        <v>401</v>
      </c>
    </row>
    <row r="15" spans="1:10" ht="21.75" customHeight="1" x14ac:dyDescent="0.35">
      <c r="A15" s="11" t="s">
        <v>224</v>
      </c>
      <c r="B15" s="11" t="s">
        <v>418</v>
      </c>
      <c r="C15" s="11" t="s">
        <v>427</v>
      </c>
      <c r="D15" s="11" t="s">
        <v>428</v>
      </c>
      <c r="E15" s="11" t="s">
        <v>392</v>
      </c>
      <c r="F15" s="11" t="s">
        <v>429</v>
      </c>
      <c r="G15" s="11" t="s">
        <v>373</v>
      </c>
      <c r="H15" s="11" t="s">
        <v>373</v>
      </c>
      <c r="I15" s="11" t="s">
        <v>422</v>
      </c>
      <c r="J15" s="11" t="s">
        <v>430</v>
      </c>
    </row>
    <row r="16" spans="1:10" ht="15" customHeight="1" x14ac:dyDescent="0.35">
      <c r="A16" s="11" t="s">
        <v>244</v>
      </c>
      <c r="B16" s="11" t="s">
        <v>372</v>
      </c>
      <c r="C16" s="11" t="s">
        <v>402</v>
      </c>
      <c r="D16" s="11" t="s">
        <v>373</v>
      </c>
      <c r="E16" s="11" t="s">
        <v>392</v>
      </c>
      <c r="F16" s="11" t="s">
        <v>399</v>
      </c>
      <c r="G16" s="11" t="s">
        <v>373</v>
      </c>
      <c r="H16" s="11" t="s">
        <v>373</v>
      </c>
      <c r="I16" s="11" t="s">
        <v>400</v>
      </c>
      <c r="J16" s="11" t="s">
        <v>431</v>
      </c>
    </row>
    <row r="17" spans="1:10" ht="15" customHeight="1" x14ac:dyDescent="0.35">
      <c r="A17" s="11" t="s">
        <v>259</v>
      </c>
      <c r="B17" s="11" t="s">
        <v>372</v>
      </c>
      <c r="C17" s="11" t="s">
        <v>432</v>
      </c>
      <c r="D17" s="11" t="s">
        <v>433</v>
      </c>
      <c r="E17" s="11" t="s">
        <v>392</v>
      </c>
      <c r="F17" s="11" t="s">
        <v>399</v>
      </c>
      <c r="G17" s="11" t="s">
        <v>373</v>
      </c>
      <c r="H17" s="11" t="s">
        <v>373</v>
      </c>
      <c r="I17" s="11" t="s">
        <v>400</v>
      </c>
      <c r="J17" s="11" t="s">
        <v>401</v>
      </c>
    </row>
    <row r="18" spans="1:10" ht="21.75" customHeight="1" x14ac:dyDescent="0.35">
      <c r="A18" s="31" t="s">
        <v>434</v>
      </c>
      <c r="B18" s="31" t="s">
        <v>435</v>
      </c>
      <c r="C18" s="31" t="s">
        <v>436</v>
      </c>
      <c r="D18" s="31" t="s">
        <v>437</v>
      </c>
      <c r="E18" s="31" t="s">
        <v>438</v>
      </c>
      <c r="F18" s="31" t="s">
        <v>439</v>
      </c>
      <c r="G18" s="31" t="s">
        <v>440</v>
      </c>
      <c r="H18" s="31" t="s">
        <v>373</v>
      </c>
      <c r="I18" s="31" t="s">
        <v>416</v>
      </c>
      <c r="J18" s="31" t="s">
        <v>441</v>
      </c>
    </row>
    <row r="19" spans="1:10" ht="34.5" customHeight="1" x14ac:dyDescent="0.35">
      <c r="A19" s="31" t="s">
        <v>284</v>
      </c>
      <c r="B19" s="31" t="s">
        <v>435</v>
      </c>
      <c r="C19" s="31" t="s">
        <v>442</v>
      </c>
      <c r="D19" s="31" t="s">
        <v>443</v>
      </c>
      <c r="E19" s="31" t="s">
        <v>444</v>
      </c>
      <c r="F19" s="31" t="s">
        <v>445</v>
      </c>
      <c r="G19" s="31" t="s">
        <v>446</v>
      </c>
      <c r="H19" s="31" t="s">
        <v>373</v>
      </c>
      <c r="I19" s="31" t="s">
        <v>416</v>
      </c>
      <c r="J19" s="31" t="s">
        <v>447</v>
      </c>
    </row>
    <row r="20" spans="1:10" ht="15" customHeight="1" x14ac:dyDescent="0.35">
      <c r="A20" s="11" t="s">
        <v>293</v>
      </c>
      <c r="B20" s="11" t="s">
        <v>372</v>
      </c>
      <c r="C20" s="11" t="s">
        <v>402</v>
      </c>
      <c r="D20" s="11" t="s">
        <v>373</v>
      </c>
      <c r="E20" s="11" t="s">
        <v>392</v>
      </c>
      <c r="F20" s="11" t="s">
        <v>399</v>
      </c>
      <c r="G20" s="11" t="s">
        <v>373</v>
      </c>
      <c r="H20" s="11" t="s">
        <v>373</v>
      </c>
      <c r="I20" s="11" t="s">
        <v>400</v>
      </c>
      <c r="J20" s="11" t="s">
        <v>401</v>
      </c>
    </row>
    <row r="21" spans="1:10" ht="15" customHeight="1" x14ac:dyDescent="0.35">
      <c r="A21" s="11" t="s">
        <v>302</v>
      </c>
      <c r="B21" s="11" t="s">
        <v>372</v>
      </c>
      <c r="C21" s="11" t="s">
        <v>448</v>
      </c>
      <c r="D21" s="11" t="s">
        <v>373</v>
      </c>
      <c r="E21" s="11" t="s">
        <v>392</v>
      </c>
      <c r="F21" s="11" t="s">
        <v>399</v>
      </c>
      <c r="G21" s="11" t="s">
        <v>373</v>
      </c>
      <c r="H21" s="11" t="s">
        <v>373</v>
      </c>
      <c r="I21" s="11" t="s">
        <v>400</v>
      </c>
      <c r="J21" s="11" t="s">
        <v>401</v>
      </c>
    </row>
    <row r="22" spans="1:10" ht="21.75" customHeight="1" x14ac:dyDescent="0.35">
      <c r="A22" s="11" t="s">
        <v>375</v>
      </c>
      <c r="B22" s="11" t="s">
        <v>372</v>
      </c>
      <c r="C22" s="11" t="s">
        <v>449</v>
      </c>
      <c r="D22" s="11" t="s">
        <v>450</v>
      </c>
      <c r="E22" s="11" t="s">
        <v>392</v>
      </c>
      <c r="F22" s="11" t="s">
        <v>451</v>
      </c>
      <c r="G22" s="11" t="s">
        <v>452</v>
      </c>
      <c r="H22" s="11" t="s">
        <v>372</v>
      </c>
      <c r="I22" s="11" t="s">
        <v>453</v>
      </c>
      <c r="J22" s="11" t="s">
        <v>431</v>
      </c>
    </row>
    <row r="23" spans="1:10" ht="21.75" customHeight="1" x14ac:dyDescent="0.35">
      <c r="A23" s="11" t="s">
        <v>454</v>
      </c>
      <c r="B23" s="11" t="s">
        <v>372</v>
      </c>
      <c r="C23" s="11" t="s">
        <v>455</v>
      </c>
      <c r="D23" s="11" t="s">
        <v>443</v>
      </c>
      <c r="E23" s="11" t="s">
        <v>392</v>
      </c>
      <c r="F23" s="11" t="s">
        <v>456</v>
      </c>
      <c r="G23" s="11" t="s">
        <v>440</v>
      </c>
      <c r="H23" s="11" t="s">
        <v>373</v>
      </c>
      <c r="I23" s="11" t="s">
        <v>453</v>
      </c>
      <c r="J23" s="11" t="s">
        <v>457</v>
      </c>
    </row>
    <row r="24" spans="1:10" ht="15" customHeight="1" x14ac:dyDescent="0.35">
      <c r="A24" s="11" t="s">
        <v>326</v>
      </c>
      <c r="B24" s="11" t="s">
        <v>372</v>
      </c>
      <c r="C24" s="11" t="s">
        <v>458</v>
      </c>
      <c r="D24" s="11" t="s">
        <v>459</v>
      </c>
      <c r="E24" s="11" t="s">
        <v>392</v>
      </c>
      <c r="F24" s="11" t="s">
        <v>399</v>
      </c>
      <c r="G24" s="11" t="s">
        <v>452</v>
      </c>
      <c r="H24" s="11" t="s">
        <v>372</v>
      </c>
      <c r="I24" s="11" t="s">
        <v>400</v>
      </c>
      <c r="J24" s="11" t="s">
        <v>401</v>
      </c>
    </row>
  </sheetData>
  <autoFilter ref="A3:J24" xr:uid="{00000000-0009-0000-0000-000003000000}"/>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A9" sqref="A9"/>
    </sheetView>
  </sheetViews>
  <sheetFormatPr defaultColWidth="8.453125" defaultRowHeight="14.5" x14ac:dyDescent="0.35"/>
  <cols>
    <col min="1" max="1" width="26" customWidth="1"/>
    <col min="2" max="2" width="14" customWidth="1"/>
    <col min="3" max="3" width="40" customWidth="1"/>
    <col min="4" max="4" width="15" customWidth="1"/>
    <col min="5" max="5" width="62" customWidth="1"/>
    <col min="6" max="6" width="61.453125" bestFit="1" customWidth="1"/>
    <col min="7" max="7" width="52" customWidth="1"/>
  </cols>
  <sheetData>
    <row r="1" spans="1:7" ht="21.75" customHeight="1" x14ac:dyDescent="0.4">
      <c r="A1" s="1" t="s">
        <v>460</v>
      </c>
    </row>
    <row r="2" spans="1:7" x14ac:dyDescent="0.35">
      <c r="A2" s="2" t="s">
        <v>461</v>
      </c>
    </row>
    <row r="3" spans="1:7" ht="42" customHeight="1" x14ac:dyDescent="0.35">
      <c r="A3" s="8" t="s">
        <v>31</v>
      </c>
      <c r="B3" s="8" t="s">
        <v>34</v>
      </c>
      <c r="C3" s="8" t="s">
        <v>462</v>
      </c>
      <c r="D3" s="8" t="s">
        <v>463</v>
      </c>
      <c r="E3" s="8" t="s">
        <v>464</v>
      </c>
      <c r="F3" s="8" t="s">
        <v>465</v>
      </c>
      <c r="G3" s="8" t="s">
        <v>466</v>
      </c>
    </row>
    <row r="4" spans="1:7" ht="34.5" customHeight="1" x14ac:dyDescent="0.35">
      <c r="A4" s="32" t="s">
        <v>66</v>
      </c>
      <c r="B4" s="11" t="s">
        <v>25</v>
      </c>
      <c r="C4" s="11" t="s">
        <v>467</v>
      </c>
      <c r="D4" s="33" t="s">
        <v>468</v>
      </c>
      <c r="E4" s="11" t="s">
        <v>469</v>
      </c>
      <c r="F4" s="11" t="s">
        <v>470</v>
      </c>
      <c r="G4" s="11" t="s">
        <v>471</v>
      </c>
    </row>
    <row r="5" spans="1:7" ht="23" customHeight="1" x14ac:dyDescent="0.35">
      <c r="A5" s="32" t="s">
        <v>80</v>
      </c>
      <c r="B5" s="11" t="s">
        <v>24</v>
      </c>
      <c r="C5" s="11" t="s">
        <v>472</v>
      </c>
      <c r="D5" s="34" t="s">
        <v>473</v>
      </c>
      <c r="E5" s="11" t="s">
        <v>474</v>
      </c>
      <c r="F5" s="11" t="s">
        <v>475</v>
      </c>
      <c r="G5" s="11" t="s">
        <v>476</v>
      </c>
    </row>
    <row r="6" spans="1:7" ht="34.5" customHeight="1" x14ac:dyDescent="0.35">
      <c r="A6" s="32" t="s">
        <v>94</v>
      </c>
      <c r="B6" s="11" t="s">
        <v>25</v>
      </c>
      <c r="C6" s="11" t="s">
        <v>477</v>
      </c>
      <c r="D6" s="34" t="s">
        <v>473</v>
      </c>
      <c r="E6" s="11" t="s">
        <v>478</v>
      </c>
      <c r="F6" s="11" t="s">
        <v>479</v>
      </c>
      <c r="G6" s="11" t="s">
        <v>480</v>
      </c>
    </row>
    <row r="7" spans="1:7" ht="23" customHeight="1" x14ac:dyDescent="0.35">
      <c r="A7" s="32" t="s">
        <v>108</v>
      </c>
      <c r="B7" s="11" t="s">
        <v>26</v>
      </c>
      <c r="C7" s="11" t="s">
        <v>481</v>
      </c>
      <c r="D7" s="35" t="s">
        <v>482</v>
      </c>
      <c r="E7" s="11" t="s">
        <v>483</v>
      </c>
      <c r="F7" s="11" t="s">
        <v>484</v>
      </c>
      <c r="G7" s="11" t="s">
        <v>485</v>
      </c>
    </row>
    <row r="8" spans="1:7" ht="23" customHeight="1" x14ac:dyDescent="0.35">
      <c r="A8" s="32" t="s">
        <v>118</v>
      </c>
      <c r="B8" s="11" t="s">
        <v>24</v>
      </c>
      <c r="C8" s="11" t="s">
        <v>486</v>
      </c>
      <c r="D8" s="35" t="s">
        <v>482</v>
      </c>
      <c r="E8" s="11" t="s">
        <v>487</v>
      </c>
      <c r="F8" s="11" t="s">
        <v>488</v>
      </c>
      <c r="G8" s="11" t="s">
        <v>489</v>
      </c>
    </row>
    <row r="9" spans="1:7" ht="15" customHeight="1" x14ac:dyDescent="0.35">
      <c r="A9" s="32" t="s">
        <v>133</v>
      </c>
      <c r="B9" s="11" t="s">
        <v>24</v>
      </c>
      <c r="C9" s="11" t="s">
        <v>490</v>
      </c>
      <c r="D9" s="36" t="s">
        <v>491</v>
      </c>
      <c r="E9" s="11" t="s">
        <v>492</v>
      </c>
      <c r="F9" s="11" t="s">
        <v>493</v>
      </c>
      <c r="G9" s="11" t="s">
        <v>494</v>
      </c>
    </row>
    <row r="10" spans="1:7" ht="23" customHeight="1" x14ac:dyDescent="0.35">
      <c r="A10" s="32" t="s">
        <v>145</v>
      </c>
      <c r="B10" s="11" t="s">
        <v>26</v>
      </c>
      <c r="C10" s="11" t="s">
        <v>495</v>
      </c>
      <c r="D10" s="34" t="s">
        <v>496</v>
      </c>
      <c r="E10" s="11" t="s">
        <v>497</v>
      </c>
      <c r="F10" s="11" t="s">
        <v>498</v>
      </c>
      <c r="G10" s="11" t="s">
        <v>499</v>
      </c>
    </row>
    <row r="11" spans="1:7" ht="21.75" customHeight="1" x14ac:dyDescent="0.35">
      <c r="A11" s="32" t="s">
        <v>157</v>
      </c>
      <c r="B11" s="11" t="s">
        <v>26</v>
      </c>
      <c r="C11" s="11" t="s">
        <v>500</v>
      </c>
      <c r="D11" s="35" t="s">
        <v>482</v>
      </c>
      <c r="E11" s="11" t="s">
        <v>501</v>
      </c>
      <c r="F11" s="11" t="s">
        <v>502</v>
      </c>
      <c r="G11" s="11" t="s">
        <v>503</v>
      </c>
    </row>
    <row r="12" spans="1:7" ht="21.75" customHeight="1" x14ac:dyDescent="0.35">
      <c r="A12" s="32" t="s">
        <v>168</v>
      </c>
      <c r="B12" s="11" t="s">
        <v>26</v>
      </c>
      <c r="C12" s="11" t="s">
        <v>504</v>
      </c>
      <c r="D12" s="35" t="s">
        <v>482</v>
      </c>
      <c r="E12" s="11" t="s">
        <v>505</v>
      </c>
      <c r="F12" s="11" t="s">
        <v>506</v>
      </c>
      <c r="G12" s="11" t="s">
        <v>507</v>
      </c>
    </row>
    <row r="13" spans="1:7" ht="21.75" customHeight="1" x14ac:dyDescent="0.35">
      <c r="A13" s="32" t="s">
        <v>508</v>
      </c>
      <c r="B13" s="11" t="s">
        <v>26</v>
      </c>
      <c r="C13" s="11" t="s">
        <v>509</v>
      </c>
      <c r="D13" s="36" t="s">
        <v>491</v>
      </c>
      <c r="E13" s="11" t="s">
        <v>510</v>
      </c>
      <c r="F13" s="11" t="s">
        <v>511</v>
      </c>
      <c r="G13" s="11" t="s">
        <v>512</v>
      </c>
    </row>
    <row r="14" spans="1:7" ht="15" customHeight="1" x14ac:dyDescent="0.35">
      <c r="A14" s="32" t="s">
        <v>188</v>
      </c>
      <c r="B14" s="11" t="s">
        <v>26</v>
      </c>
      <c r="C14" s="11" t="s">
        <v>513</v>
      </c>
      <c r="D14" s="36" t="s">
        <v>491</v>
      </c>
      <c r="E14" s="11" t="s">
        <v>514</v>
      </c>
      <c r="F14" s="11" t="s">
        <v>515</v>
      </c>
      <c r="G14" s="11" t="s">
        <v>516</v>
      </c>
    </row>
    <row r="15" spans="1:7" ht="23" customHeight="1" x14ac:dyDescent="0.35">
      <c r="A15" s="32" t="s">
        <v>224</v>
      </c>
      <c r="B15" s="11" t="s">
        <v>26</v>
      </c>
      <c r="C15" s="11" t="s">
        <v>517</v>
      </c>
      <c r="D15" s="35" t="s">
        <v>482</v>
      </c>
      <c r="E15" s="11" t="s">
        <v>518</v>
      </c>
      <c r="F15" s="11" t="s">
        <v>519</v>
      </c>
      <c r="G15" s="11" t="s">
        <v>520</v>
      </c>
    </row>
    <row r="16" spans="1:7" ht="15" customHeight="1" x14ac:dyDescent="0.35">
      <c r="A16" s="32" t="s">
        <v>237</v>
      </c>
      <c r="B16" s="11" t="s">
        <v>25</v>
      </c>
      <c r="C16" s="11" t="s">
        <v>521</v>
      </c>
      <c r="D16" s="36" t="s">
        <v>522</v>
      </c>
      <c r="E16" s="11" t="s">
        <v>523</v>
      </c>
      <c r="F16" s="11" t="s">
        <v>524</v>
      </c>
      <c r="G16" s="11" t="s">
        <v>525</v>
      </c>
    </row>
    <row r="17" spans="1:7" ht="23" customHeight="1" x14ac:dyDescent="0.35">
      <c r="A17" s="32" t="s">
        <v>244</v>
      </c>
      <c r="B17" s="11" t="s">
        <v>526</v>
      </c>
      <c r="C17" s="11" t="s">
        <v>527</v>
      </c>
      <c r="D17" s="35" t="s">
        <v>482</v>
      </c>
      <c r="E17" s="11" t="s">
        <v>528</v>
      </c>
      <c r="F17" s="11" t="s">
        <v>529</v>
      </c>
      <c r="G17" s="11" t="s">
        <v>530</v>
      </c>
    </row>
    <row r="18" spans="1:7" ht="23" customHeight="1" x14ac:dyDescent="0.35">
      <c r="A18" s="32" t="s">
        <v>259</v>
      </c>
      <c r="B18" s="11" t="s">
        <v>25</v>
      </c>
      <c r="C18" s="11" t="s">
        <v>531</v>
      </c>
      <c r="D18" s="35" t="s">
        <v>482</v>
      </c>
      <c r="E18" s="11" t="s">
        <v>532</v>
      </c>
      <c r="F18" s="11" t="s">
        <v>533</v>
      </c>
      <c r="G18" s="11" t="s">
        <v>534</v>
      </c>
    </row>
    <row r="19" spans="1:7" ht="21.75" customHeight="1" x14ac:dyDescent="0.35">
      <c r="A19" s="32" t="s">
        <v>270</v>
      </c>
      <c r="B19" s="11" t="s">
        <v>272</v>
      </c>
      <c r="C19" s="11" t="s">
        <v>535</v>
      </c>
      <c r="D19" s="36" t="s">
        <v>491</v>
      </c>
      <c r="E19" s="11" t="s">
        <v>536</v>
      </c>
      <c r="F19" s="11" t="s">
        <v>537</v>
      </c>
      <c r="G19" s="11" t="s">
        <v>538</v>
      </c>
    </row>
    <row r="20" spans="1:7" ht="23" customHeight="1" x14ac:dyDescent="0.35">
      <c r="A20" s="32" t="s">
        <v>539</v>
      </c>
      <c r="B20" s="11" t="s">
        <v>24</v>
      </c>
      <c r="C20" s="11" t="s">
        <v>540</v>
      </c>
      <c r="D20" s="36" t="s">
        <v>491</v>
      </c>
      <c r="E20" s="11" t="s">
        <v>541</v>
      </c>
      <c r="F20" s="11" t="s">
        <v>542</v>
      </c>
      <c r="G20" s="11" t="s">
        <v>543</v>
      </c>
    </row>
    <row r="21" spans="1:7" ht="21.75" customHeight="1" x14ac:dyDescent="0.35">
      <c r="A21" s="32" t="s">
        <v>302</v>
      </c>
      <c r="B21" s="11" t="s">
        <v>24</v>
      </c>
      <c r="C21" s="11" t="s">
        <v>544</v>
      </c>
      <c r="D21" s="36" t="s">
        <v>491</v>
      </c>
      <c r="E21" s="11" t="s">
        <v>545</v>
      </c>
      <c r="F21" s="11" t="s">
        <v>546</v>
      </c>
      <c r="G21" s="11" t="s">
        <v>547</v>
      </c>
    </row>
    <row r="22" spans="1:7" ht="23" customHeight="1" x14ac:dyDescent="0.35">
      <c r="A22" s="32" t="s">
        <v>375</v>
      </c>
      <c r="B22" s="11" t="s">
        <v>272</v>
      </c>
      <c r="C22" s="11" t="s">
        <v>548</v>
      </c>
      <c r="D22" s="37" t="s">
        <v>549</v>
      </c>
      <c r="E22" s="11" t="s">
        <v>550</v>
      </c>
      <c r="F22" s="11" t="s">
        <v>551</v>
      </c>
      <c r="G22" s="11" t="s">
        <v>552</v>
      </c>
    </row>
    <row r="23" spans="1:7" ht="15" customHeight="1" x14ac:dyDescent="0.35">
      <c r="A23" s="32" t="s">
        <v>326</v>
      </c>
      <c r="B23" s="11" t="s">
        <v>26</v>
      </c>
      <c r="C23" s="11" t="s">
        <v>553</v>
      </c>
      <c r="D23" s="36" t="s">
        <v>491</v>
      </c>
      <c r="E23" s="11" t="s">
        <v>554</v>
      </c>
      <c r="F23" s="11" t="s">
        <v>555</v>
      </c>
      <c r="G23" s="11" t="s">
        <v>556</v>
      </c>
    </row>
    <row r="24" spans="1:7" ht="23" x14ac:dyDescent="0.35">
      <c r="A24" s="113" t="s">
        <v>557</v>
      </c>
      <c r="B24" s="114" t="s">
        <v>558</v>
      </c>
      <c r="C24" s="114" t="s">
        <v>559</v>
      </c>
      <c r="D24" s="115" t="s">
        <v>560</v>
      </c>
      <c r="E24" s="114" t="s">
        <v>561</v>
      </c>
      <c r="F24" s="114" t="s">
        <v>562</v>
      </c>
      <c r="G24" s="114" t="s">
        <v>563</v>
      </c>
    </row>
  </sheetData>
  <autoFilter ref="A3:G24" xr:uid="{00000000-0009-0000-0000-000004000000}"/>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
  <sheetViews>
    <sheetView showGridLines="0" zoomScaleNormal="100" workbookViewId="0"/>
  </sheetViews>
  <sheetFormatPr defaultColWidth="8.453125" defaultRowHeight="14.5" x14ac:dyDescent="0.35"/>
  <cols>
    <col min="1" max="1" width="42" customWidth="1"/>
    <col min="2" max="3" width="20" customWidth="1"/>
    <col min="4" max="4" width="74" customWidth="1"/>
  </cols>
  <sheetData>
    <row r="1" spans="1:4" ht="21.75" customHeight="1" x14ac:dyDescent="0.4">
      <c r="A1" s="1" t="s">
        <v>564</v>
      </c>
    </row>
    <row r="2" spans="1:4" ht="15" customHeight="1" x14ac:dyDescent="0.35">
      <c r="A2" s="2" t="s">
        <v>565</v>
      </c>
    </row>
    <row r="4" spans="1:4" ht="19.5" customHeight="1" x14ac:dyDescent="0.35">
      <c r="A4" s="8" t="s">
        <v>566</v>
      </c>
      <c r="B4" s="8" t="s">
        <v>400</v>
      </c>
      <c r="C4" s="8" t="s">
        <v>416</v>
      </c>
      <c r="D4" s="8" t="s">
        <v>567</v>
      </c>
    </row>
    <row r="5" spans="1:4" ht="15" customHeight="1" x14ac:dyDescent="0.35">
      <c r="A5" s="38" t="s">
        <v>568</v>
      </c>
      <c r="B5" s="39">
        <v>30</v>
      </c>
      <c r="C5" s="39">
        <v>80</v>
      </c>
      <c r="D5" s="38" t="s">
        <v>569</v>
      </c>
    </row>
    <row r="6" spans="1:4" ht="15" customHeight="1" x14ac:dyDescent="0.35">
      <c r="A6" s="38" t="s">
        <v>570</v>
      </c>
      <c r="B6" s="39">
        <v>0.3</v>
      </c>
      <c r="C6" s="39">
        <v>1</v>
      </c>
      <c r="D6" s="38" t="s">
        <v>569</v>
      </c>
    </row>
    <row r="7" spans="1:4" ht="15" customHeight="1" x14ac:dyDescent="0.35">
      <c r="A7" s="38" t="s">
        <v>571</v>
      </c>
      <c r="B7" s="39">
        <v>0.5</v>
      </c>
      <c r="C7" s="39">
        <v>2</v>
      </c>
      <c r="D7" s="38" t="s">
        <v>572</v>
      </c>
    </row>
    <row r="8" spans="1:4" ht="15" customHeight="1" x14ac:dyDescent="0.35">
      <c r="A8" s="38" t="s">
        <v>573</v>
      </c>
      <c r="B8" s="39">
        <v>50</v>
      </c>
      <c r="C8" s="39">
        <v>150</v>
      </c>
      <c r="D8" s="38" t="s">
        <v>574</v>
      </c>
    </row>
    <row r="9" spans="1:4" ht="15" customHeight="1" x14ac:dyDescent="0.35">
      <c r="A9" s="38" t="s">
        <v>575</v>
      </c>
      <c r="B9" s="39">
        <v>100</v>
      </c>
      <c r="C9" s="39">
        <v>400</v>
      </c>
      <c r="D9" s="38" t="s">
        <v>574</v>
      </c>
    </row>
    <row r="10" spans="1:4" ht="15" customHeight="1" x14ac:dyDescent="0.35">
      <c r="A10" s="38" t="s">
        <v>576</v>
      </c>
      <c r="B10" s="39">
        <v>500</v>
      </c>
      <c r="C10" s="39">
        <v>2000</v>
      </c>
      <c r="D10" s="38" t="s">
        <v>574</v>
      </c>
    </row>
    <row r="11" spans="1:4" ht="15" customHeight="1" x14ac:dyDescent="0.35">
      <c r="A11" s="38" t="s">
        <v>577</v>
      </c>
      <c r="B11" s="39">
        <v>69</v>
      </c>
      <c r="C11" s="39">
        <v>129</v>
      </c>
      <c r="D11" s="38" t="s">
        <v>578</v>
      </c>
    </row>
    <row r="12" spans="1:4" ht="15" customHeight="1" x14ac:dyDescent="0.35">
      <c r="A12" s="38" t="s">
        <v>579</v>
      </c>
      <c r="B12" s="39">
        <v>119</v>
      </c>
      <c r="C12" s="39">
        <v>239</v>
      </c>
      <c r="D12" s="38" t="s">
        <v>580</v>
      </c>
    </row>
    <row r="15" spans="1:4" ht="15" customHeight="1" x14ac:dyDescent="0.35">
      <c r="A15" s="5" t="s">
        <v>581</v>
      </c>
    </row>
    <row r="16" spans="1:4" ht="15" customHeight="1" x14ac:dyDescent="0.35">
      <c r="A16" s="11" t="s">
        <v>582</v>
      </c>
      <c r="B16" s="40">
        <v>10000000</v>
      </c>
      <c r="C16" s="41"/>
      <c r="D16" s="42" t="s">
        <v>583</v>
      </c>
    </row>
    <row r="17" spans="1:4" ht="15" customHeight="1" x14ac:dyDescent="0.35">
      <c r="A17" s="11" t="s">
        <v>584</v>
      </c>
      <c r="B17" s="40">
        <v>2000</v>
      </c>
      <c r="C17" s="41"/>
      <c r="D17" s="42" t="s">
        <v>585</v>
      </c>
    </row>
    <row r="18" spans="1:4" ht="18.75" customHeight="1" x14ac:dyDescent="0.35">
      <c r="A18" s="32" t="s">
        <v>586</v>
      </c>
      <c r="B18" s="43">
        <f>IF(B17=0,"n/a",B16/B17)</f>
        <v>5000</v>
      </c>
      <c r="C18" s="41"/>
      <c r="D18" s="42" t="s">
        <v>587</v>
      </c>
    </row>
    <row r="21" spans="1:4" ht="15" customHeight="1" x14ac:dyDescent="0.35">
      <c r="A21" s="5" t="s">
        <v>588</v>
      </c>
    </row>
    <row r="22" spans="1:4" ht="18.75" customHeight="1" x14ac:dyDescent="0.35">
      <c r="A22" s="11" t="s">
        <v>589</v>
      </c>
      <c r="B22" s="40">
        <v>50000</v>
      </c>
      <c r="C22" s="41"/>
      <c r="D22" s="42" t="s">
        <v>590</v>
      </c>
    </row>
    <row r="23" spans="1:4" ht="18.75" customHeight="1" x14ac:dyDescent="0.35">
      <c r="A23" s="32" t="s">
        <v>591</v>
      </c>
      <c r="B23" s="32" t="s">
        <v>592</v>
      </c>
      <c r="C23" s="41"/>
      <c r="D23" s="42" t="s">
        <v>593</v>
      </c>
    </row>
  </sheetData>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8"/>
  <sheetViews>
    <sheetView showGridLines="0" zoomScaleNormal="100" workbookViewId="0"/>
  </sheetViews>
  <sheetFormatPr defaultColWidth="8.453125" defaultRowHeight="14.5" x14ac:dyDescent="0.35"/>
  <cols>
    <col min="1" max="1" width="46" customWidth="1"/>
    <col min="2" max="5" width="17" customWidth="1"/>
    <col min="6" max="6" width="66" customWidth="1"/>
  </cols>
  <sheetData>
    <row r="1" spans="1:6" ht="21.75" customHeight="1" x14ac:dyDescent="0.4">
      <c r="A1" s="1" t="s">
        <v>594</v>
      </c>
    </row>
    <row r="2" spans="1:6" x14ac:dyDescent="0.35">
      <c r="A2" s="2" t="s">
        <v>595</v>
      </c>
    </row>
    <row r="4" spans="1:6" ht="19.5" customHeight="1" x14ac:dyDescent="0.35">
      <c r="A4" s="44" t="s">
        <v>596</v>
      </c>
      <c r="B4" s="45"/>
      <c r="C4" s="45"/>
      <c r="D4" s="45"/>
      <c r="E4" s="45"/>
      <c r="F4" s="45"/>
    </row>
    <row r="5" spans="1:6" ht="27.75" customHeight="1" x14ac:dyDescent="0.35">
      <c r="A5" s="46" t="s">
        <v>597</v>
      </c>
      <c r="B5" s="46"/>
      <c r="C5" s="46"/>
      <c r="D5" s="46"/>
      <c r="E5" s="46"/>
      <c r="F5" s="46" t="s">
        <v>598</v>
      </c>
    </row>
    <row r="6" spans="1:6" ht="46" customHeight="1" x14ac:dyDescent="0.35">
      <c r="A6" s="32" t="s">
        <v>599</v>
      </c>
      <c r="B6" s="41"/>
      <c r="C6" s="41"/>
      <c r="D6" s="41"/>
      <c r="E6" s="41"/>
      <c r="F6" s="11" t="s">
        <v>600</v>
      </c>
    </row>
    <row r="7" spans="1:6" ht="34.5" customHeight="1" x14ac:dyDescent="0.35">
      <c r="A7" s="32" t="s">
        <v>601</v>
      </c>
      <c r="B7" s="41"/>
      <c r="C7" s="41"/>
      <c r="D7" s="41"/>
      <c r="E7" s="41"/>
      <c r="F7" s="11" t="s">
        <v>602</v>
      </c>
    </row>
    <row r="8" spans="1:6" ht="34.5" customHeight="1" x14ac:dyDescent="0.35">
      <c r="A8" s="32" t="s">
        <v>603</v>
      </c>
      <c r="B8" s="41"/>
      <c r="C8" s="41"/>
      <c r="D8" s="41"/>
      <c r="E8" s="41"/>
      <c r="F8" s="11" t="s">
        <v>604</v>
      </c>
    </row>
    <row r="9" spans="1:6" ht="46" customHeight="1" x14ac:dyDescent="0.35">
      <c r="A9" s="32" t="s">
        <v>605</v>
      </c>
      <c r="B9" s="41"/>
      <c r="C9" s="41"/>
      <c r="D9" s="41"/>
      <c r="E9" s="41"/>
      <c r="F9" s="11" t="s">
        <v>606</v>
      </c>
    </row>
    <row r="10" spans="1:6" ht="34.5" customHeight="1" x14ac:dyDescent="0.35">
      <c r="A10" s="32" t="s">
        <v>607</v>
      </c>
      <c r="B10" s="41"/>
      <c r="C10" s="41"/>
      <c r="D10" s="41"/>
      <c r="E10" s="41"/>
      <c r="F10" s="11" t="s">
        <v>608</v>
      </c>
    </row>
    <row r="12" spans="1:6" ht="19.5" customHeight="1" x14ac:dyDescent="0.35">
      <c r="A12" s="44" t="s">
        <v>609</v>
      </c>
      <c r="B12" s="45"/>
      <c r="C12" s="45"/>
      <c r="D12" s="45"/>
      <c r="E12" s="45"/>
      <c r="F12" s="45"/>
    </row>
    <row r="13" spans="1:6" ht="27.75" customHeight="1" x14ac:dyDescent="0.35">
      <c r="A13" s="46" t="s">
        <v>610</v>
      </c>
      <c r="B13" s="46" t="s">
        <v>611</v>
      </c>
      <c r="C13" s="46"/>
      <c r="D13" s="46"/>
      <c r="E13" s="46"/>
      <c r="F13" s="46" t="s">
        <v>612</v>
      </c>
    </row>
    <row r="14" spans="1:6" ht="21.75" customHeight="1" x14ac:dyDescent="0.35">
      <c r="A14" s="47" t="s">
        <v>613</v>
      </c>
      <c r="B14" s="48">
        <v>62000</v>
      </c>
      <c r="C14" s="47"/>
      <c r="D14" s="47"/>
      <c r="E14" s="47"/>
      <c r="F14" s="47" t="s">
        <v>614</v>
      </c>
    </row>
    <row r="15" spans="1:6" ht="15" customHeight="1" x14ac:dyDescent="0.35">
      <c r="A15" s="47" t="s">
        <v>615</v>
      </c>
      <c r="B15" s="49">
        <v>2</v>
      </c>
      <c r="C15" s="47"/>
      <c r="D15" s="47"/>
      <c r="E15" s="47"/>
      <c r="F15" s="47" t="s">
        <v>616</v>
      </c>
    </row>
    <row r="16" spans="1:6" ht="15" customHeight="1" x14ac:dyDescent="0.35">
      <c r="A16" s="47" t="s">
        <v>617</v>
      </c>
      <c r="B16" s="50">
        <v>0.7</v>
      </c>
      <c r="C16" s="47"/>
      <c r="D16" s="47"/>
      <c r="E16" s="47"/>
      <c r="F16" s="47" t="s">
        <v>618</v>
      </c>
    </row>
    <row r="17" spans="1:6" ht="15" customHeight="1" x14ac:dyDescent="0.35">
      <c r="A17" s="47" t="s">
        <v>619</v>
      </c>
      <c r="B17" s="50">
        <v>0.9</v>
      </c>
      <c r="C17" s="47"/>
      <c r="D17" s="47"/>
      <c r="E17" s="47"/>
      <c r="F17" s="47" t="s">
        <v>620</v>
      </c>
    </row>
    <row r="18" spans="1:6" ht="15" customHeight="1" x14ac:dyDescent="0.35">
      <c r="A18" s="51" t="s">
        <v>621</v>
      </c>
      <c r="B18" s="52">
        <f>B14*B15*B16*B17</f>
        <v>78120</v>
      </c>
      <c r="C18" s="51"/>
      <c r="D18" s="51"/>
      <c r="E18" s="51"/>
      <c r="F18" s="51" t="s">
        <v>622</v>
      </c>
    </row>
    <row r="19" spans="1:6" ht="15" customHeight="1" x14ac:dyDescent="0.35">
      <c r="A19" s="53" t="s">
        <v>623</v>
      </c>
    </row>
    <row r="21" spans="1:6" ht="19.5" customHeight="1" x14ac:dyDescent="0.35">
      <c r="A21" s="44" t="s">
        <v>624</v>
      </c>
      <c r="B21" s="45"/>
      <c r="C21" s="45"/>
      <c r="D21" s="45"/>
      <c r="E21" s="45"/>
      <c r="F21" s="45"/>
    </row>
    <row r="22" spans="1:6" ht="27.75" customHeight="1" x14ac:dyDescent="0.35">
      <c r="A22" s="46" t="s">
        <v>625</v>
      </c>
      <c r="B22" s="46" t="s">
        <v>626</v>
      </c>
      <c r="C22" s="46" t="s">
        <v>627</v>
      </c>
      <c r="D22" s="46"/>
      <c r="E22" s="46"/>
      <c r="F22" s="46" t="s">
        <v>628</v>
      </c>
    </row>
    <row r="23" spans="1:6" ht="23" customHeight="1" x14ac:dyDescent="0.35">
      <c r="A23" s="47" t="s">
        <v>629</v>
      </c>
      <c r="B23" s="47" t="s">
        <v>630</v>
      </c>
      <c r="C23" s="48">
        <v>12000</v>
      </c>
      <c r="D23" s="47"/>
      <c r="E23" s="47"/>
      <c r="F23" s="47" t="s">
        <v>631</v>
      </c>
    </row>
    <row r="24" spans="1:6" ht="23" customHeight="1" x14ac:dyDescent="0.35">
      <c r="A24" s="47" t="s">
        <v>632</v>
      </c>
      <c r="B24" s="47" t="s">
        <v>633</v>
      </c>
      <c r="C24" s="48">
        <v>18000</v>
      </c>
      <c r="D24" s="47"/>
      <c r="E24" s="47"/>
      <c r="F24" s="47" t="s">
        <v>634</v>
      </c>
    </row>
    <row r="25" spans="1:6" ht="15" customHeight="1" x14ac:dyDescent="0.35">
      <c r="A25" s="47" t="s">
        <v>635</v>
      </c>
      <c r="B25" s="47" t="s">
        <v>633</v>
      </c>
      <c r="C25" s="48">
        <v>12000</v>
      </c>
      <c r="D25" s="47"/>
      <c r="E25" s="47"/>
      <c r="F25" s="47" t="s">
        <v>636</v>
      </c>
    </row>
    <row r="26" spans="1:6" ht="23" customHeight="1" x14ac:dyDescent="0.35">
      <c r="A26" s="47" t="s">
        <v>637</v>
      </c>
      <c r="B26" s="47" t="s">
        <v>633</v>
      </c>
      <c r="C26" s="48">
        <v>9000</v>
      </c>
      <c r="D26" s="47"/>
      <c r="E26" s="47"/>
      <c r="F26" s="47" t="s">
        <v>638</v>
      </c>
    </row>
    <row r="27" spans="1:6" ht="15" customHeight="1" x14ac:dyDescent="0.35">
      <c r="A27" s="47" t="s">
        <v>639</v>
      </c>
      <c r="B27" s="47" t="s">
        <v>640</v>
      </c>
      <c r="C27" s="54">
        <v>1.2</v>
      </c>
      <c r="D27" s="47"/>
      <c r="E27" s="47"/>
      <c r="F27" s="47" t="s">
        <v>641</v>
      </c>
    </row>
    <row r="28" spans="1:6" ht="21.75" customHeight="1" x14ac:dyDescent="0.35">
      <c r="A28" s="47" t="s">
        <v>642</v>
      </c>
      <c r="B28" s="47" t="s">
        <v>643</v>
      </c>
      <c r="C28" s="48">
        <v>9500</v>
      </c>
      <c r="D28" s="47"/>
      <c r="E28" s="47"/>
      <c r="F28" s="47" t="s">
        <v>644</v>
      </c>
    </row>
    <row r="29" spans="1:6" ht="15" customHeight="1" x14ac:dyDescent="0.35">
      <c r="A29" s="47" t="s">
        <v>645</v>
      </c>
      <c r="B29" s="47" t="s">
        <v>643</v>
      </c>
      <c r="C29" s="48">
        <v>4500</v>
      </c>
      <c r="D29" s="47"/>
      <c r="E29" s="47"/>
      <c r="F29" s="47" t="s">
        <v>646</v>
      </c>
    </row>
    <row r="30" spans="1:6" ht="15" customHeight="1" x14ac:dyDescent="0.35">
      <c r="A30" s="47" t="s">
        <v>647</v>
      </c>
      <c r="B30" s="47" t="s">
        <v>648</v>
      </c>
      <c r="C30" s="48">
        <v>9500</v>
      </c>
      <c r="D30" s="47"/>
      <c r="E30" s="47"/>
      <c r="F30" s="47" t="s">
        <v>649</v>
      </c>
    </row>
    <row r="31" spans="1:6" ht="34.5" customHeight="1" x14ac:dyDescent="0.35">
      <c r="A31" s="55" t="s">
        <v>650</v>
      </c>
      <c r="B31" s="56">
        <f>C24/C26</f>
        <v>2</v>
      </c>
      <c r="C31" s="55"/>
      <c r="D31" s="55"/>
      <c r="E31" s="55"/>
      <c r="F31" s="55" t="s">
        <v>651</v>
      </c>
    </row>
    <row r="33" spans="1:6" ht="19.5" customHeight="1" x14ac:dyDescent="0.35">
      <c r="A33" s="44" t="s">
        <v>652</v>
      </c>
      <c r="B33" s="45"/>
      <c r="C33" s="45"/>
      <c r="D33" s="45"/>
      <c r="E33" s="45"/>
      <c r="F33" s="45"/>
    </row>
    <row r="34" spans="1:6" ht="27.75" customHeight="1" x14ac:dyDescent="0.35">
      <c r="A34" s="46" t="s">
        <v>653</v>
      </c>
      <c r="B34" s="46" t="s">
        <v>654</v>
      </c>
      <c r="C34" s="46" t="s">
        <v>655</v>
      </c>
      <c r="D34" s="46" t="s">
        <v>656</v>
      </c>
      <c r="E34" s="46" t="s">
        <v>409</v>
      </c>
      <c r="F34" s="46" t="s">
        <v>657</v>
      </c>
    </row>
    <row r="35" spans="1:6" ht="15" customHeight="1" x14ac:dyDescent="0.35">
      <c r="A35" s="47" t="s">
        <v>658</v>
      </c>
      <c r="B35" s="49">
        <v>3</v>
      </c>
      <c r="C35" s="49">
        <v>12</v>
      </c>
      <c r="D35" s="49">
        <v>12</v>
      </c>
      <c r="E35" s="49">
        <v>12</v>
      </c>
      <c r="F35" s="47" t="s">
        <v>659</v>
      </c>
    </row>
    <row r="36" spans="1:6" ht="15" customHeight="1" x14ac:dyDescent="0.35">
      <c r="A36" s="47" t="s">
        <v>660</v>
      </c>
      <c r="B36" s="49">
        <v>1</v>
      </c>
      <c r="C36" s="49">
        <v>1</v>
      </c>
      <c r="D36" s="49">
        <v>2</v>
      </c>
      <c r="E36" s="49">
        <v>4</v>
      </c>
      <c r="F36" s="47"/>
    </row>
    <row r="37" spans="1:6" ht="15" customHeight="1" x14ac:dyDescent="0.35">
      <c r="A37" s="47" t="s">
        <v>661</v>
      </c>
      <c r="B37" s="49">
        <v>0</v>
      </c>
      <c r="C37" s="49">
        <v>0</v>
      </c>
      <c r="D37" s="49">
        <v>1</v>
      </c>
      <c r="E37" s="49">
        <v>2</v>
      </c>
      <c r="F37" s="47"/>
    </row>
    <row r="38" spans="1:6" ht="15" customHeight="1" x14ac:dyDescent="0.35">
      <c r="A38" s="47" t="s">
        <v>662</v>
      </c>
      <c r="B38" s="49">
        <v>2</v>
      </c>
      <c r="C38" s="49">
        <v>2</v>
      </c>
      <c r="D38" s="49">
        <v>5</v>
      </c>
      <c r="E38" s="49">
        <v>10</v>
      </c>
      <c r="F38" s="47" t="s">
        <v>663</v>
      </c>
    </row>
    <row r="39" spans="1:6" ht="15" customHeight="1" x14ac:dyDescent="0.35">
      <c r="A39" s="57" t="s">
        <v>664</v>
      </c>
      <c r="B39" s="58">
        <f>$C$30</f>
        <v>9500</v>
      </c>
      <c r="C39" s="58">
        <f>($C$23+C36*$C$24+C37*$C$25)*C35/12</f>
        <v>30000</v>
      </c>
      <c r="D39" s="58">
        <f>($C$23+D36*$C$24+D37*$C$25)*D35/12</f>
        <v>60000</v>
      </c>
      <c r="E39" s="58">
        <f>($C$23+E36*$C$24+E37*$C$25)*E35/12</f>
        <v>108000</v>
      </c>
      <c r="F39" s="57" t="s">
        <v>665</v>
      </c>
    </row>
    <row r="40" spans="1:6" ht="15" customHeight="1" x14ac:dyDescent="0.35">
      <c r="A40" s="47" t="s">
        <v>666</v>
      </c>
      <c r="B40" s="59">
        <f>$B$14*B38*$B$16*$B$17*B35/12</f>
        <v>19530</v>
      </c>
      <c r="C40" s="59">
        <f>$B$14*C38*$B$16*$B$17*C35/12</f>
        <v>78120</v>
      </c>
      <c r="D40" s="59">
        <f>$B$14*D38*$B$16*$B$17*D35/12</f>
        <v>195300</v>
      </c>
      <c r="E40" s="59">
        <f>$B$14*E38*$B$16*$B$17*E35/12</f>
        <v>390600</v>
      </c>
      <c r="F40" s="47" t="s">
        <v>667</v>
      </c>
    </row>
    <row r="41" spans="1:6" ht="23" customHeight="1" x14ac:dyDescent="0.35">
      <c r="A41" s="51" t="s">
        <v>668</v>
      </c>
      <c r="B41" s="60">
        <f>IFERROR(B40/B39,"n/a")</f>
        <v>2.0557894736842104</v>
      </c>
      <c r="C41" s="60">
        <f>IFERROR(C40/C39,"n/a")</f>
        <v>2.6040000000000001</v>
      </c>
      <c r="D41" s="60">
        <f>IFERROR(D40/D39,"n/a")</f>
        <v>3.2549999999999999</v>
      </c>
      <c r="E41" s="60">
        <f>IFERROR(E40/E39,"n/a")</f>
        <v>3.6166666666666667</v>
      </c>
      <c r="F41" s="51" t="s">
        <v>669</v>
      </c>
    </row>
    <row r="42" spans="1:6" ht="23" customHeight="1" x14ac:dyDescent="0.35">
      <c r="A42" s="47" t="s">
        <v>670</v>
      </c>
      <c r="B42" s="61">
        <f>IFERROR(B39/(B40/B35),"n/a")</f>
        <v>1.4592933947772657</v>
      </c>
      <c r="C42" s="61">
        <f>IFERROR(C39/(C40/C35),"n/a")</f>
        <v>4.6082949308755756</v>
      </c>
      <c r="D42" s="61">
        <f>IFERROR(D39/(D40/D35),"n/a")</f>
        <v>3.6866359447004609</v>
      </c>
      <c r="E42" s="61">
        <f>IFERROR(E39/(E40/E35),"n/a")</f>
        <v>3.3179723502304146</v>
      </c>
      <c r="F42" s="47" t="s">
        <v>671</v>
      </c>
    </row>
    <row r="43" spans="1:6" ht="15" customHeight="1" x14ac:dyDescent="0.35">
      <c r="A43" s="47" t="s">
        <v>672</v>
      </c>
      <c r="B43" s="59">
        <f>B39*12/B35</f>
        <v>38000</v>
      </c>
      <c r="C43" s="59">
        <f>C39*12/C35</f>
        <v>30000</v>
      </c>
      <c r="D43" s="59">
        <f>D39*12/D35</f>
        <v>60000</v>
      </c>
      <c r="E43" s="59">
        <f>E39*12/E35</f>
        <v>108000</v>
      </c>
      <c r="F43" s="47" t="s">
        <v>673</v>
      </c>
    </row>
    <row r="45" spans="1:6" ht="19.5" customHeight="1" x14ac:dyDescent="0.35">
      <c r="A45" s="44" t="s">
        <v>674</v>
      </c>
      <c r="B45" s="45"/>
      <c r="C45" s="45"/>
      <c r="D45" s="45"/>
      <c r="E45" s="45"/>
      <c r="F45" s="45"/>
    </row>
    <row r="46" spans="1:6" ht="27.75" customHeight="1" x14ac:dyDescent="0.35">
      <c r="A46" s="46" t="s">
        <v>675</v>
      </c>
      <c r="B46" s="46" t="s">
        <v>676</v>
      </c>
      <c r="C46" s="46" t="s">
        <v>677</v>
      </c>
      <c r="D46" s="46"/>
      <c r="E46" s="46"/>
      <c r="F46" s="46" t="s">
        <v>678</v>
      </c>
    </row>
    <row r="47" spans="1:6" ht="34.5" customHeight="1" x14ac:dyDescent="0.35">
      <c r="A47" s="62" t="s">
        <v>679</v>
      </c>
      <c r="B47" s="47" t="s">
        <v>680</v>
      </c>
      <c r="C47" s="47" t="s">
        <v>681</v>
      </c>
      <c r="D47" s="47"/>
      <c r="E47" s="47"/>
      <c r="F47" s="47" t="s">
        <v>682</v>
      </c>
    </row>
    <row r="48" spans="1:6" ht="42" customHeight="1" x14ac:dyDescent="0.35">
      <c r="A48" s="62" t="s">
        <v>683</v>
      </c>
      <c r="B48" s="47" t="s">
        <v>684</v>
      </c>
      <c r="C48" s="47" t="s">
        <v>685</v>
      </c>
      <c r="D48" s="47"/>
      <c r="E48" s="47"/>
      <c r="F48" s="47" t="s">
        <v>686</v>
      </c>
    </row>
    <row r="49" spans="1:6" ht="34.5" customHeight="1" x14ac:dyDescent="0.35">
      <c r="A49" s="62" t="s">
        <v>687</v>
      </c>
      <c r="B49" s="47" t="s">
        <v>688</v>
      </c>
      <c r="C49" s="47" t="s">
        <v>689</v>
      </c>
      <c r="D49" s="47"/>
      <c r="E49" s="47"/>
      <c r="F49" s="47" t="s">
        <v>690</v>
      </c>
    </row>
    <row r="50" spans="1:6" ht="46" customHeight="1" x14ac:dyDescent="0.35">
      <c r="A50" s="62" t="s">
        <v>691</v>
      </c>
      <c r="B50" s="47" t="s">
        <v>692</v>
      </c>
      <c r="C50" s="47" t="s">
        <v>693</v>
      </c>
      <c r="D50" s="47"/>
      <c r="E50" s="47"/>
      <c r="F50" s="47" t="s">
        <v>694</v>
      </c>
    </row>
    <row r="51" spans="1:6" ht="57.5" customHeight="1" x14ac:dyDescent="0.35">
      <c r="A51" s="62" t="s">
        <v>695</v>
      </c>
      <c r="B51" s="47" t="s">
        <v>696</v>
      </c>
      <c r="C51" s="47" t="s">
        <v>697</v>
      </c>
      <c r="D51" s="47"/>
      <c r="E51" s="47"/>
      <c r="F51" s="47" t="s">
        <v>698</v>
      </c>
    </row>
    <row r="52" spans="1:6" ht="31.5" customHeight="1" x14ac:dyDescent="0.35">
      <c r="A52" s="62" t="s">
        <v>699</v>
      </c>
      <c r="B52" s="47" t="s">
        <v>700</v>
      </c>
      <c r="C52" s="47" t="s">
        <v>701</v>
      </c>
      <c r="D52" s="47"/>
      <c r="E52" s="47"/>
      <c r="F52" s="47" t="s">
        <v>702</v>
      </c>
    </row>
    <row r="53" spans="1:6" ht="69" customHeight="1" x14ac:dyDescent="0.35">
      <c r="A53" s="62" t="s">
        <v>703</v>
      </c>
      <c r="B53" s="47" t="s">
        <v>704</v>
      </c>
      <c r="C53" s="47" t="s">
        <v>705</v>
      </c>
      <c r="D53" s="47"/>
      <c r="E53" s="47"/>
      <c r="F53" s="47" t="s">
        <v>706</v>
      </c>
    </row>
    <row r="55" spans="1:6" ht="19.5" customHeight="1" x14ac:dyDescent="0.35">
      <c r="A55" s="44" t="s">
        <v>707</v>
      </c>
      <c r="B55" s="45"/>
      <c r="C55" s="45"/>
      <c r="D55" s="45"/>
      <c r="E55" s="45"/>
      <c r="F55" s="45"/>
    </row>
    <row r="56" spans="1:6" ht="27.75" customHeight="1" x14ac:dyDescent="0.35">
      <c r="A56" s="46" t="s">
        <v>708</v>
      </c>
      <c r="B56" s="46" t="s">
        <v>709</v>
      </c>
      <c r="C56" s="46"/>
      <c r="D56" s="46"/>
      <c r="E56" s="46"/>
      <c r="F56" s="46" t="s">
        <v>710</v>
      </c>
    </row>
    <row r="57" spans="1:6" ht="34.5" customHeight="1" x14ac:dyDescent="0.35">
      <c r="A57" s="62" t="s">
        <v>711</v>
      </c>
      <c r="B57" s="47" t="s">
        <v>712</v>
      </c>
      <c r="C57" s="47"/>
      <c r="D57" s="47"/>
      <c r="E57" s="47"/>
      <c r="F57" s="47" t="s">
        <v>713</v>
      </c>
    </row>
    <row r="58" spans="1:6" ht="23" customHeight="1" x14ac:dyDescent="0.35">
      <c r="A58" s="62" t="s">
        <v>714</v>
      </c>
      <c r="B58" s="47" t="s">
        <v>715</v>
      </c>
      <c r="C58" s="47"/>
      <c r="D58" s="47"/>
      <c r="E58" s="47"/>
      <c r="F58" s="47" t="s">
        <v>716</v>
      </c>
    </row>
    <row r="59" spans="1:6" ht="23" customHeight="1" x14ac:dyDescent="0.35">
      <c r="A59" s="62" t="s">
        <v>717</v>
      </c>
      <c r="B59" s="47" t="s">
        <v>718</v>
      </c>
      <c r="C59" s="47"/>
      <c r="D59" s="47"/>
      <c r="E59" s="47"/>
      <c r="F59" s="47" t="s">
        <v>719</v>
      </c>
    </row>
    <row r="60" spans="1:6" ht="23" customHeight="1" x14ac:dyDescent="0.35">
      <c r="A60" s="62" t="s">
        <v>145</v>
      </c>
      <c r="B60" s="47" t="s">
        <v>720</v>
      </c>
      <c r="C60" s="47"/>
      <c r="D60" s="47"/>
      <c r="E60" s="47"/>
      <c r="F60" s="47" t="s">
        <v>721</v>
      </c>
    </row>
    <row r="61" spans="1:6" ht="23" customHeight="1" x14ac:dyDescent="0.35">
      <c r="A61" s="62" t="s">
        <v>80</v>
      </c>
      <c r="B61" s="47" t="s">
        <v>722</v>
      </c>
      <c r="C61" s="47"/>
      <c r="D61" s="47"/>
      <c r="E61" s="47"/>
      <c r="F61" s="47" t="s">
        <v>723</v>
      </c>
    </row>
    <row r="62" spans="1:6" ht="23" customHeight="1" x14ac:dyDescent="0.35">
      <c r="A62" s="62" t="s">
        <v>724</v>
      </c>
      <c r="B62" s="47" t="s">
        <v>725</v>
      </c>
      <c r="C62" s="47"/>
      <c r="D62" s="47"/>
      <c r="E62" s="47"/>
      <c r="F62" s="47" t="s">
        <v>726</v>
      </c>
    </row>
    <row r="64" spans="1:6" ht="19.5" customHeight="1" x14ac:dyDescent="0.35">
      <c r="A64" s="44" t="s">
        <v>727</v>
      </c>
      <c r="B64" s="45"/>
      <c r="C64" s="45"/>
      <c r="D64" s="45"/>
      <c r="E64" s="45"/>
      <c r="F64" s="45"/>
    </row>
    <row r="65" spans="1:6" ht="27.75" customHeight="1" x14ac:dyDescent="0.35">
      <c r="A65" s="46" t="s">
        <v>728</v>
      </c>
      <c r="B65" s="46" t="s">
        <v>729</v>
      </c>
      <c r="C65" s="46"/>
      <c r="D65" s="46"/>
      <c r="E65" s="46"/>
      <c r="F65" s="46" t="s">
        <v>730</v>
      </c>
    </row>
    <row r="66" spans="1:6" ht="15" customHeight="1" x14ac:dyDescent="0.35">
      <c r="A66" s="62" t="s">
        <v>731</v>
      </c>
      <c r="B66" s="63" t="s">
        <v>732</v>
      </c>
      <c r="C66" s="47"/>
      <c r="D66" s="47"/>
      <c r="E66" s="47"/>
      <c r="F66" s="47" t="s">
        <v>733</v>
      </c>
    </row>
    <row r="67" spans="1:6" ht="23" customHeight="1" x14ac:dyDescent="0.35">
      <c r="A67" s="62" t="s">
        <v>734</v>
      </c>
      <c r="B67" s="63" t="s">
        <v>735</v>
      </c>
      <c r="C67" s="47"/>
      <c r="D67" s="47"/>
      <c r="E67" s="47"/>
      <c r="F67" s="47" t="s">
        <v>736</v>
      </c>
    </row>
    <row r="68" spans="1:6" ht="15" customHeight="1" x14ac:dyDescent="0.35">
      <c r="A68" s="62" t="s">
        <v>737</v>
      </c>
      <c r="B68" s="63" t="s">
        <v>738</v>
      </c>
      <c r="C68" s="47"/>
      <c r="D68" s="47"/>
      <c r="E68" s="47"/>
      <c r="F68" s="47" t="s">
        <v>739</v>
      </c>
    </row>
    <row r="69" spans="1:6" ht="15" customHeight="1" x14ac:dyDescent="0.35">
      <c r="A69" s="62" t="s">
        <v>740</v>
      </c>
      <c r="B69" s="63" t="s">
        <v>741</v>
      </c>
      <c r="C69" s="47"/>
      <c r="D69" s="47"/>
      <c r="E69" s="47"/>
      <c r="F69" s="47" t="s">
        <v>742</v>
      </c>
    </row>
    <row r="70" spans="1:6" ht="15" customHeight="1" x14ac:dyDescent="0.35">
      <c r="A70" s="62" t="s">
        <v>743</v>
      </c>
      <c r="B70" s="63" t="s">
        <v>744</v>
      </c>
      <c r="C70" s="47"/>
      <c r="D70" s="47"/>
      <c r="E70" s="47"/>
      <c r="F70" s="47" t="s">
        <v>745</v>
      </c>
    </row>
    <row r="71" spans="1:6" ht="21.75" customHeight="1" x14ac:dyDescent="0.35">
      <c r="A71" s="62" t="s">
        <v>746</v>
      </c>
      <c r="B71" s="63" t="s">
        <v>747</v>
      </c>
      <c r="C71" s="47"/>
      <c r="D71" s="47"/>
      <c r="E71" s="47"/>
      <c r="F71" s="47" t="s">
        <v>748</v>
      </c>
    </row>
    <row r="73" spans="1:6" ht="19.5" customHeight="1" x14ac:dyDescent="0.35">
      <c r="A73" s="44" t="s">
        <v>749</v>
      </c>
      <c r="B73" s="45"/>
      <c r="C73" s="45"/>
      <c r="D73" s="45"/>
      <c r="E73" s="45"/>
      <c r="F73" s="45"/>
    </row>
    <row r="74" spans="1:6" ht="46" customHeight="1" x14ac:dyDescent="0.35">
      <c r="A74" s="64" t="s">
        <v>750</v>
      </c>
    </row>
    <row r="75" spans="1:6" ht="34.5" customHeight="1" x14ac:dyDescent="0.35">
      <c r="A75" s="64" t="s">
        <v>751</v>
      </c>
    </row>
    <row r="76" spans="1:6" ht="34.5" customHeight="1" x14ac:dyDescent="0.35">
      <c r="A76" s="64" t="s">
        <v>752</v>
      </c>
    </row>
    <row r="77" spans="1:6" ht="34.5" customHeight="1" x14ac:dyDescent="0.35">
      <c r="A77" s="64" t="s">
        <v>753</v>
      </c>
    </row>
    <row r="78" spans="1:6" ht="46" customHeight="1" x14ac:dyDescent="0.35">
      <c r="A78" s="64" t="s">
        <v>754</v>
      </c>
    </row>
  </sheetData>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2"/>
  <sheetViews>
    <sheetView showGridLines="0" zoomScaleNormal="100" workbookViewId="0"/>
  </sheetViews>
  <sheetFormatPr defaultColWidth="8.453125" defaultRowHeight="14.5" x14ac:dyDescent="0.35"/>
  <cols>
    <col min="1" max="1" width="48" customWidth="1"/>
    <col min="2" max="5" width="16" customWidth="1"/>
    <col min="6" max="6" width="60" customWidth="1"/>
  </cols>
  <sheetData>
    <row r="1" spans="1:6" ht="21.75" customHeight="1" x14ac:dyDescent="0.4">
      <c r="A1" s="1" t="s">
        <v>755</v>
      </c>
    </row>
    <row r="2" spans="1:6" x14ac:dyDescent="0.35">
      <c r="A2" s="2" t="s">
        <v>756</v>
      </c>
    </row>
    <row r="4" spans="1:6" ht="19.5" customHeight="1" x14ac:dyDescent="0.35">
      <c r="A4" s="44" t="s">
        <v>757</v>
      </c>
      <c r="B4" s="45"/>
      <c r="C4" s="45"/>
      <c r="D4" s="45"/>
      <c r="E4" s="45"/>
      <c r="F4" s="45"/>
    </row>
    <row r="5" spans="1:6" ht="23" customHeight="1" x14ac:dyDescent="0.35">
      <c r="A5" s="47" t="s">
        <v>758</v>
      </c>
      <c r="B5" s="47"/>
      <c r="C5" s="47"/>
      <c r="D5" s="47"/>
      <c r="E5" s="47"/>
      <c r="F5" s="47" t="s">
        <v>759</v>
      </c>
    </row>
    <row r="6" spans="1:6" ht="34.5" customHeight="1" x14ac:dyDescent="0.35">
      <c r="A6" s="47" t="s">
        <v>760</v>
      </c>
      <c r="B6" s="47"/>
      <c r="C6" s="47"/>
      <c r="D6" s="47"/>
      <c r="E6" s="47"/>
      <c r="F6" s="47" t="s">
        <v>761</v>
      </c>
    </row>
    <row r="7" spans="1:6" ht="23" customHeight="1" x14ac:dyDescent="0.35">
      <c r="A7" s="47" t="s">
        <v>762</v>
      </c>
      <c r="B7" s="47"/>
      <c r="C7" s="47"/>
      <c r="D7" s="47"/>
      <c r="E7" s="47"/>
      <c r="F7" s="47" t="s">
        <v>763</v>
      </c>
    </row>
    <row r="9" spans="1:6" ht="19.5" customHeight="1" x14ac:dyDescent="0.35">
      <c r="A9" s="44" t="s">
        <v>764</v>
      </c>
      <c r="B9" s="45"/>
      <c r="C9" s="45"/>
      <c r="D9" s="45"/>
      <c r="E9" s="45"/>
      <c r="F9" s="45"/>
    </row>
    <row r="10" spans="1:6" ht="25.5" customHeight="1" x14ac:dyDescent="0.35">
      <c r="A10" s="46" t="s">
        <v>653</v>
      </c>
      <c r="B10" s="46" t="s">
        <v>611</v>
      </c>
      <c r="C10" s="46"/>
      <c r="D10" s="46"/>
      <c r="E10" s="46"/>
      <c r="F10" s="46" t="s">
        <v>765</v>
      </c>
    </row>
    <row r="11" spans="1:6" ht="15" customHeight="1" x14ac:dyDescent="0.35">
      <c r="A11" s="65" t="s">
        <v>766</v>
      </c>
      <c r="B11" s="66">
        <v>19000</v>
      </c>
      <c r="C11" s="65"/>
      <c r="D11" s="65"/>
      <c r="E11" s="65"/>
      <c r="F11" s="65" t="s">
        <v>767</v>
      </c>
    </row>
    <row r="12" spans="1:6" ht="15" customHeight="1" x14ac:dyDescent="0.35">
      <c r="A12" s="65" t="s">
        <v>768</v>
      </c>
      <c r="B12" s="66">
        <v>1000000</v>
      </c>
      <c r="C12" s="65"/>
      <c r="D12" s="65"/>
      <c r="E12" s="65"/>
      <c r="F12" s="65" t="s">
        <v>769</v>
      </c>
    </row>
    <row r="13" spans="1:6" ht="15" customHeight="1" x14ac:dyDescent="0.35">
      <c r="A13" s="65" t="s">
        <v>770</v>
      </c>
      <c r="B13" s="66">
        <v>2500</v>
      </c>
      <c r="C13" s="65"/>
      <c r="D13" s="65"/>
      <c r="E13" s="65"/>
      <c r="F13" s="65" t="s">
        <v>771</v>
      </c>
    </row>
    <row r="14" spans="1:6" ht="15" customHeight="1" x14ac:dyDescent="0.35">
      <c r="A14" s="65" t="s">
        <v>772</v>
      </c>
      <c r="B14" s="66">
        <v>600000</v>
      </c>
      <c r="C14" s="65"/>
      <c r="D14" s="65"/>
      <c r="E14" s="65"/>
      <c r="F14" s="65" t="s">
        <v>773</v>
      </c>
    </row>
    <row r="15" spans="1:6" ht="15" customHeight="1" x14ac:dyDescent="0.35">
      <c r="A15" s="65" t="s">
        <v>774</v>
      </c>
      <c r="B15" s="66">
        <v>123000000000</v>
      </c>
      <c r="C15" s="65"/>
      <c r="D15" s="65"/>
      <c r="E15" s="65"/>
      <c r="F15" s="65" t="s">
        <v>773</v>
      </c>
    </row>
    <row r="16" spans="1:6" ht="15" customHeight="1" x14ac:dyDescent="0.35">
      <c r="A16" s="65" t="s">
        <v>775</v>
      </c>
      <c r="B16" s="66">
        <v>1700</v>
      </c>
      <c r="C16" s="65"/>
      <c r="D16" s="65"/>
      <c r="E16" s="65"/>
      <c r="F16" s="65" t="s">
        <v>776</v>
      </c>
    </row>
    <row r="17" spans="1:6" ht="15" customHeight="1" x14ac:dyDescent="0.35">
      <c r="A17" s="65" t="s">
        <v>777</v>
      </c>
      <c r="B17" s="66">
        <v>15418</v>
      </c>
      <c r="C17" s="65"/>
      <c r="D17" s="65"/>
      <c r="E17" s="65"/>
      <c r="F17" s="65" t="s">
        <v>778</v>
      </c>
    </row>
    <row r="18" spans="1:6" ht="15" customHeight="1" x14ac:dyDescent="0.35">
      <c r="A18" s="65" t="s">
        <v>779</v>
      </c>
      <c r="B18" s="66">
        <v>75407</v>
      </c>
      <c r="C18" s="65"/>
      <c r="D18" s="65"/>
      <c r="E18" s="65"/>
      <c r="F18" s="65" t="s">
        <v>780</v>
      </c>
    </row>
    <row r="19" spans="1:6" ht="15" customHeight="1" x14ac:dyDescent="0.35">
      <c r="A19" s="65" t="s">
        <v>781</v>
      </c>
      <c r="B19" s="66">
        <v>347783</v>
      </c>
      <c r="C19" s="65"/>
      <c r="D19" s="65"/>
      <c r="E19" s="65"/>
      <c r="F19" s="65" t="s">
        <v>782</v>
      </c>
    </row>
    <row r="20" spans="1:6" ht="15" customHeight="1" x14ac:dyDescent="0.35">
      <c r="A20" s="65" t="s">
        <v>783</v>
      </c>
      <c r="B20" s="66">
        <v>127700000000</v>
      </c>
      <c r="C20" s="65"/>
      <c r="D20" s="65"/>
      <c r="E20" s="65"/>
      <c r="F20" s="65" t="s">
        <v>784</v>
      </c>
    </row>
    <row r="21" spans="1:6" ht="15" customHeight="1" x14ac:dyDescent="0.35">
      <c r="A21" s="65" t="s">
        <v>785</v>
      </c>
      <c r="B21" s="66">
        <v>86620000000</v>
      </c>
      <c r="C21" s="65"/>
      <c r="D21" s="65"/>
      <c r="E21" s="65"/>
      <c r="F21" s="65" t="s">
        <v>786</v>
      </c>
    </row>
    <row r="22" spans="1:6" ht="30" customHeight="1" x14ac:dyDescent="0.35">
      <c r="A22" s="53" t="s">
        <v>787</v>
      </c>
    </row>
    <row r="24" spans="1:6" ht="19.5" customHeight="1" x14ac:dyDescent="0.35">
      <c r="A24" s="44" t="s">
        <v>788</v>
      </c>
      <c r="B24" s="45"/>
      <c r="C24" s="45"/>
      <c r="D24" s="45"/>
      <c r="E24" s="45"/>
      <c r="F24" s="45"/>
    </row>
    <row r="25" spans="1:6" ht="25.5" customHeight="1" x14ac:dyDescent="0.35">
      <c r="A25" s="46" t="s">
        <v>789</v>
      </c>
      <c r="B25" s="46" t="s">
        <v>24</v>
      </c>
      <c r="C25" s="46" t="s">
        <v>25</v>
      </c>
      <c r="D25" s="46" t="s">
        <v>26</v>
      </c>
      <c r="E25" s="46" t="s">
        <v>790</v>
      </c>
      <c r="F25" s="46" t="s">
        <v>388</v>
      </c>
    </row>
    <row r="26" spans="1:6" ht="23" customHeight="1" x14ac:dyDescent="0.35">
      <c r="A26" s="47" t="s">
        <v>791</v>
      </c>
      <c r="B26" s="59">
        <f>B12</f>
        <v>1000000</v>
      </c>
      <c r="C26" s="48">
        <v>85000</v>
      </c>
      <c r="D26" s="59">
        <f>B19</f>
        <v>347783</v>
      </c>
      <c r="E26" s="59">
        <f>SUM(B26:D26)</f>
        <v>1432783</v>
      </c>
      <c r="F26" s="47" t="s">
        <v>792</v>
      </c>
    </row>
    <row r="27" spans="1:6" ht="23" customHeight="1" x14ac:dyDescent="0.35">
      <c r="A27" s="47" t="s">
        <v>793</v>
      </c>
      <c r="B27" s="67">
        <v>0.5</v>
      </c>
      <c r="C27" s="67">
        <v>0.5</v>
      </c>
      <c r="D27" s="67">
        <v>0.5</v>
      </c>
      <c r="E27" s="47"/>
      <c r="F27" s="47" t="s">
        <v>794</v>
      </c>
    </row>
    <row r="28" spans="1:6" ht="15" customHeight="1" x14ac:dyDescent="0.35">
      <c r="A28" s="47" t="s">
        <v>795</v>
      </c>
      <c r="B28" s="48">
        <v>62000</v>
      </c>
      <c r="C28" s="48">
        <v>58000</v>
      </c>
      <c r="D28" s="48">
        <v>78000</v>
      </c>
      <c r="E28" s="47"/>
      <c r="F28" s="47" t="s">
        <v>796</v>
      </c>
    </row>
    <row r="29" spans="1:6" ht="15" customHeight="1" x14ac:dyDescent="0.35">
      <c r="A29" s="47" t="s">
        <v>797</v>
      </c>
      <c r="B29" s="59">
        <f>B26*B27*B28</f>
        <v>31000000000</v>
      </c>
      <c r="C29" s="59">
        <f>C26*C27*C28</f>
        <v>2465000000</v>
      </c>
      <c r="D29" s="59">
        <f>D26*D27*D28</f>
        <v>13563537000</v>
      </c>
      <c r="E29" s="59">
        <f>SUM(B29:D29)</f>
        <v>47028537000</v>
      </c>
      <c r="F29" s="47" t="s">
        <v>798</v>
      </c>
    </row>
    <row r="30" spans="1:6" ht="23" customHeight="1" x14ac:dyDescent="0.35">
      <c r="A30" s="47" t="s">
        <v>799</v>
      </c>
      <c r="B30" s="67">
        <v>0.6</v>
      </c>
      <c r="C30" s="67">
        <v>0.6</v>
      </c>
      <c r="D30" s="67">
        <v>0.6</v>
      </c>
      <c r="E30" s="47"/>
      <c r="F30" s="47" t="s">
        <v>800</v>
      </c>
    </row>
    <row r="31" spans="1:6" ht="34.5" customHeight="1" x14ac:dyDescent="0.35">
      <c r="A31" s="47" t="s">
        <v>801</v>
      </c>
      <c r="B31" s="67">
        <v>0.12</v>
      </c>
      <c r="C31" s="67">
        <v>0.12</v>
      </c>
      <c r="D31" s="67">
        <v>0.12</v>
      </c>
      <c r="E31" s="47"/>
      <c r="F31" s="47" t="s">
        <v>802</v>
      </c>
    </row>
    <row r="32" spans="1:6" ht="15" customHeight="1" x14ac:dyDescent="0.35">
      <c r="A32" s="51" t="s">
        <v>803</v>
      </c>
      <c r="B32" s="52">
        <f>B29*B30*B31</f>
        <v>2232000000</v>
      </c>
      <c r="C32" s="52">
        <f>C29*C30*C31</f>
        <v>177480000</v>
      </c>
      <c r="D32" s="52">
        <f>D29*D30*D31</f>
        <v>976574664</v>
      </c>
      <c r="E32" s="52">
        <f>SUM(B32:D32)</f>
        <v>3386054664</v>
      </c>
      <c r="F32" s="51" t="s">
        <v>804</v>
      </c>
    </row>
    <row r="34" spans="1:6" ht="19.5" customHeight="1" x14ac:dyDescent="0.35">
      <c r="A34" s="44" t="s">
        <v>805</v>
      </c>
      <c r="B34" s="45"/>
      <c r="C34" s="45"/>
      <c r="D34" s="45"/>
      <c r="E34" s="45"/>
      <c r="F34" s="45"/>
    </row>
    <row r="35" spans="1:6" ht="25.5" customHeight="1" x14ac:dyDescent="0.35">
      <c r="A35" s="46" t="s">
        <v>789</v>
      </c>
      <c r="B35" s="46" t="s">
        <v>24</v>
      </c>
      <c r="C35" s="46" t="s">
        <v>25</v>
      </c>
      <c r="D35" s="46" t="s">
        <v>26</v>
      </c>
      <c r="E35" s="46" t="s">
        <v>790</v>
      </c>
      <c r="F35" s="46" t="s">
        <v>388</v>
      </c>
    </row>
    <row r="36" spans="1:6" ht="21.75" customHeight="1" x14ac:dyDescent="0.35">
      <c r="A36" s="47" t="s">
        <v>806</v>
      </c>
      <c r="B36" s="59">
        <f>B11</f>
        <v>19000</v>
      </c>
      <c r="C36" s="59">
        <f>B16</f>
        <v>1700</v>
      </c>
      <c r="D36" s="59">
        <f>B17</f>
        <v>15418</v>
      </c>
      <c r="E36" s="59">
        <f>SUM(B36:D36)</f>
        <v>36118</v>
      </c>
      <c r="F36" s="47" t="s">
        <v>807</v>
      </c>
    </row>
    <row r="37" spans="1:6" ht="34.5" customHeight="1" x14ac:dyDescent="0.35">
      <c r="A37" s="47" t="s">
        <v>808</v>
      </c>
      <c r="B37" s="68">
        <v>0.04</v>
      </c>
      <c r="C37" s="68">
        <v>0.06</v>
      </c>
      <c r="D37" s="68">
        <v>0.04</v>
      </c>
      <c r="E37" s="47"/>
      <c r="F37" s="47" t="s">
        <v>809</v>
      </c>
    </row>
    <row r="38" spans="1:6" ht="15" customHeight="1" x14ac:dyDescent="0.35">
      <c r="A38" s="57" t="s">
        <v>810</v>
      </c>
      <c r="B38" s="58">
        <f>B36*B37</f>
        <v>760</v>
      </c>
      <c r="C38" s="58">
        <f>C36*C37</f>
        <v>102</v>
      </c>
      <c r="D38" s="58">
        <f>D36*D37</f>
        <v>616.72</v>
      </c>
      <c r="E38" s="58">
        <f>SUM(B38:D38)</f>
        <v>1478.72</v>
      </c>
      <c r="F38" s="57" t="s">
        <v>798</v>
      </c>
    </row>
    <row r="39" spans="1:6" ht="23" customHeight="1" x14ac:dyDescent="0.35">
      <c r="A39" s="47" t="s">
        <v>811</v>
      </c>
      <c r="B39" s="48">
        <v>75000</v>
      </c>
      <c r="C39" s="48">
        <v>75000</v>
      </c>
      <c r="D39" s="48">
        <v>85000</v>
      </c>
      <c r="E39" s="47"/>
      <c r="F39" s="47" t="s">
        <v>812</v>
      </c>
    </row>
    <row r="40" spans="1:6" ht="15" customHeight="1" x14ac:dyDescent="0.35">
      <c r="A40" s="51" t="s">
        <v>813</v>
      </c>
      <c r="B40" s="52">
        <f>B38*B39</f>
        <v>57000000</v>
      </c>
      <c r="C40" s="52">
        <f>C38*C39</f>
        <v>7650000</v>
      </c>
      <c r="D40" s="52">
        <f>D38*D39</f>
        <v>52421200</v>
      </c>
      <c r="E40" s="52">
        <f>SUM(B40:D40)</f>
        <v>117071200</v>
      </c>
      <c r="F40" s="51" t="s">
        <v>814</v>
      </c>
    </row>
    <row r="42" spans="1:6" ht="15" customHeight="1" x14ac:dyDescent="0.35">
      <c r="A42" s="57" t="s">
        <v>815</v>
      </c>
      <c r="B42" s="57"/>
      <c r="C42" s="57"/>
      <c r="D42" s="57"/>
      <c r="E42" s="57"/>
      <c r="F42" s="57"/>
    </row>
    <row r="43" spans="1:6" ht="15" customHeight="1" x14ac:dyDescent="0.35">
      <c r="A43" s="47" t="s">
        <v>816</v>
      </c>
      <c r="B43" s="68">
        <v>9.5000000000000001E-2</v>
      </c>
      <c r="C43" s="68">
        <v>0.08</v>
      </c>
      <c r="D43" s="68">
        <v>5.1999999999999998E-2</v>
      </c>
      <c r="E43" s="47"/>
      <c r="F43" s="47" t="s">
        <v>817</v>
      </c>
    </row>
    <row r="44" spans="1:6" ht="15" customHeight="1" x14ac:dyDescent="0.35">
      <c r="A44" s="47" t="s">
        <v>818</v>
      </c>
      <c r="B44" s="59">
        <f>B36*B43</f>
        <v>1805</v>
      </c>
      <c r="C44" s="59">
        <f>C36*C43</f>
        <v>136</v>
      </c>
      <c r="D44" s="59">
        <f>D36*D43</f>
        <v>801.73599999999999</v>
      </c>
      <c r="E44" s="59">
        <f>SUM(B44:D44)</f>
        <v>2742.7359999999999</v>
      </c>
      <c r="F44" s="47" t="s">
        <v>798</v>
      </c>
    </row>
    <row r="45" spans="1:6" ht="15" customHeight="1" x14ac:dyDescent="0.35">
      <c r="A45" s="47" t="s">
        <v>819</v>
      </c>
      <c r="B45" s="48">
        <v>55000</v>
      </c>
      <c r="C45" s="48">
        <v>55000</v>
      </c>
      <c r="D45" s="48">
        <v>62000</v>
      </c>
      <c r="E45" s="47"/>
      <c r="F45" s="47" t="s">
        <v>820</v>
      </c>
    </row>
    <row r="46" spans="1:6" ht="15" customHeight="1" x14ac:dyDescent="0.35">
      <c r="A46" s="51" t="s">
        <v>821</v>
      </c>
      <c r="B46" s="52">
        <f>B44*B45</f>
        <v>99275000</v>
      </c>
      <c r="C46" s="52">
        <f>C44*C45</f>
        <v>7480000</v>
      </c>
      <c r="D46" s="52">
        <f>D44*D45</f>
        <v>49707632</v>
      </c>
      <c r="E46" s="52">
        <f>SUM(B46:D46)</f>
        <v>156462632</v>
      </c>
      <c r="F46" s="51" t="s">
        <v>798</v>
      </c>
    </row>
    <row r="48" spans="1:6" ht="19.5" customHeight="1" x14ac:dyDescent="0.35">
      <c r="A48" s="44" t="s">
        <v>822</v>
      </c>
      <c r="B48" s="45"/>
      <c r="C48" s="45"/>
      <c r="D48" s="45"/>
      <c r="E48" s="45"/>
      <c r="F48" s="45"/>
    </row>
    <row r="49" spans="1:6" ht="25.5" customHeight="1" x14ac:dyDescent="0.35">
      <c r="A49" s="46" t="s">
        <v>789</v>
      </c>
      <c r="B49" s="46" t="s">
        <v>611</v>
      </c>
      <c r="C49" s="46"/>
      <c r="D49" s="46"/>
      <c r="E49" s="46"/>
      <c r="F49" s="46" t="s">
        <v>388</v>
      </c>
    </row>
    <row r="50" spans="1:6" ht="21.75" customHeight="1" x14ac:dyDescent="0.35">
      <c r="A50" s="47" t="s">
        <v>823</v>
      </c>
      <c r="B50" s="67">
        <v>0.28000000000000003</v>
      </c>
      <c r="C50" s="47"/>
      <c r="D50" s="47"/>
      <c r="E50" s="47"/>
      <c r="F50" s="47" t="s">
        <v>824</v>
      </c>
    </row>
    <row r="51" spans="1:6" ht="15" customHeight="1" x14ac:dyDescent="0.35">
      <c r="A51" s="57" t="s">
        <v>825</v>
      </c>
      <c r="B51" s="58">
        <f>B38*B50</f>
        <v>212.8</v>
      </c>
      <c r="C51" s="57"/>
      <c r="D51" s="57"/>
      <c r="E51" s="57"/>
      <c r="F51" s="57" t="s">
        <v>826</v>
      </c>
    </row>
    <row r="52" spans="1:6" ht="23" customHeight="1" x14ac:dyDescent="0.35">
      <c r="A52" s="47" t="s">
        <v>827</v>
      </c>
      <c r="B52" s="67">
        <v>0.12</v>
      </c>
      <c r="C52" s="47"/>
      <c r="D52" s="47"/>
      <c r="E52" s="47"/>
      <c r="F52" s="47" t="s">
        <v>828</v>
      </c>
    </row>
    <row r="53" spans="1:6" ht="15" customHeight="1" x14ac:dyDescent="0.35">
      <c r="A53" s="57" t="s">
        <v>829</v>
      </c>
      <c r="B53" s="58">
        <f>B51*B52</f>
        <v>25.536000000000001</v>
      </c>
      <c r="C53" s="57"/>
      <c r="D53" s="57"/>
      <c r="E53" s="57"/>
      <c r="F53" s="57" t="s">
        <v>798</v>
      </c>
    </row>
    <row r="54" spans="1:6" ht="23" customHeight="1" x14ac:dyDescent="0.35">
      <c r="A54" s="47" t="s">
        <v>830</v>
      </c>
      <c r="B54" s="48">
        <v>60000</v>
      </c>
      <c r="C54" s="47"/>
      <c r="D54" s="47"/>
      <c r="E54" s="47"/>
      <c r="F54" s="47" t="s">
        <v>831</v>
      </c>
    </row>
    <row r="55" spans="1:6" ht="15" customHeight="1" x14ac:dyDescent="0.35">
      <c r="A55" s="51" t="s">
        <v>832</v>
      </c>
      <c r="B55" s="52">
        <f>B53*B54</f>
        <v>1532160</v>
      </c>
      <c r="C55" s="51"/>
      <c r="D55" s="51"/>
      <c r="E55" s="51"/>
      <c r="F55" s="51" t="s">
        <v>833</v>
      </c>
    </row>
    <row r="56" spans="1:6" ht="15" customHeight="1" x14ac:dyDescent="0.35">
      <c r="A56" s="47" t="s">
        <v>834</v>
      </c>
      <c r="B56" s="69">
        <f>B55/B40</f>
        <v>2.6880000000000001E-2</v>
      </c>
      <c r="C56" s="47"/>
      <c r="D56" s="47"/>
      <c r="E56" s="47"/>
      <c r="F56" s="47" t="s">
        <v>835</v>
      </c>
    </row>
    <row r="58" spans="1:6" ht="19.5" customHeight="1" x14ac:dyDescent="0.35">
      <c r="A58" s="44" t="s">
        <v>836</v>
      </c>
      <c r="B58" s="45"/>
      <c r="C58" s="45"/>
      <c r="D58" s="45"/>
      <c r="E58" s="45"/>
      <c r="F58" s="45"/>
    </row>
    <row r="59" spans="1:6" ht="15" customHeight="1" x14ac:dyDescent="0.35">
      <c r="A59" s="57" t="s">
        <v>837</v>
      </c>
      <c r="B59" s="58">
        <f>E32</f>
        <v>3386054664</v>
      </c>
      <c r="C59" s="57"/>
      <c r="D59" s="57"/>
      <c r="E59" s="57"/>
      <c r="F59" s="57" t="s">
        <v>838</v>
      </c>
    </row>
    <row r="60" spans="1:6" ht="15" customHeight="1" x14ac:dyDescent="0.35">
      <c r="A60" s="57" t="s">
        <v>839</v>
      </c>
      <c r="B60" s="58">
        <f>E40</f>
        <v>117071200</v>
      </c>
      <c r="C60" s="57"/>
      <c r="D60" s="57"/>
      <c r="E60" s="57"/>
      <c r="F60" s="57" t="s">
        <v>840</v>
      </c>
    </row>
    <row r="61" spans="1:6" ht="23" customHeight="1" x14ac:dyDescent="0.35">
      <c r="A61" s="55" t="s">
        <v>841</v>
      </c>
      <c r="B61" s="70">
        <f>IFERROR(B59/B60,"n/a")</f>
        <v>28.923037126124957</v>
      </c>
      <c r="C61" s="55"/>
      <c r="D61" s="55"/>
      <c r="E61" s="55"/>
      <c r="F61" s="55" t="s">
        <v>842</v>
      </c>
    </row>
    <row r="63" spans="1:6" ht="69" customHeight="1" x14ac:dyDescent="0.35">
      <c r="A63" s="64" t="s">
        <v>843</v>
      </c>
    </row>
    <row r="64" spans="1:6" ht="57.5" customHeight="1" x14ac:dyDescent="0.35">
      <c r="A64" s="64" t="s">
        <v>844</v>
      </c>
    </row>
    <row r="65" spans="1:6" ht="149.5" customHeight="1" x14ac:dyDescent="0.35">
      <c r="A65" s="64" t="s">
        <v>845</v>
      </c>
    </row>
    <row r="66" spans="1:6" ht="46" customHeight="1" x14ac:dyDescent="0.35">
      <c r="A66" s="64" t="s">
        <v>846</v>
      </c>
    </row>
    <row r="68" spans="1:6" ht="19.5" customHeight="1" x14ac:dyDescent="0.35">
      <c r="A68" s="44" t="s">
        <v>847</v>
      </c>
      <c r="B68" s="45"/>
      <c r="C68" s="45"/>
      <c r="D68" s="45"/>
      <c r="E68" s="45"/>
      <c r="F68" s="45"/>
    </row>
    <row r="69" spans="1:6" ht="25.5" customHeight="1" x14ac:dyDescent="0.35">
      <c r="A69" s="46" t="s">
        <v>848</v>
      </c>
      <c r="B69" s="46" t="s">
        <v>849</v>
      </c>
      <c r="C69" s="46" t="s">
        <v>850</v>
      </c>
      <c r="D69" s="46" t="s">
        <v>851</v>
      </c>
      <c r="E69" s="46" t="s">
        <v>852</v>
      </c>
      <c r="F69" s="46" t="s">
        <v>853</v>
      </c>
    </row>
    <row r="70" spans="1:6" ht="15" customHeight="1" x14ac:dyDescent="0.35">
      <c r="A70" s="47" t="s">
        <v>854</v>
      </c>
      <c r="B70" s="59">
        <f>$B$51*0.05*30000</f>
        <v>319200</v>
      </c>
      <c r="C70" s="59">
        <f>$B$51*0.05*60000</f>
        <v>638400</v>
      </c>
      <c r="D70" s="59">
        <f>$B$51*0.05*90000</f>
        <v>957600</v>
      </c>
      <c r="E70" s="59">
        <f>$B$51*0.05*120000</f>
        <v>1276800</v>
      </c>
      <c r="F70" s="47"/>
    </row>
    <row r="71" spans="1:6" ht="15" customHeight="1" x14ac:dyDescent="0.35">
      <c r="A71" s="47" t="s">
        <v>855</v>
      </c>
      <c r="B71" s="59">
        <f>$B$51*0.1*30000</f>
        <v>638400</v>
      </c>
      <c r="C71" s="59">
        <f>$B$51*0.1*60000</f>
        <v>1276800</v>
      </c>
      <c r="D71" s="59">
        <f>$B$51*0.1*90000</f>
        <v>1915200</v>
      </c>
      <c r="E71" s="59">
        <f>$B$51*0.1*120000</f>
        <v>2553600</v>
      </c>
      <c r="F71" s="47"/>
    </row>
    <row r="72" spans="1:6" ht="15" customHeight="1" x14ac:dyDescent="0.35">
      <c r="A72" s="71" t="s">
        <v>856</v>
      </c>
      <c r="B72" s="72">
        <f>$B$51*0.12*30000</f>
        <v>766080</v>
      </c>
      <c r="C72" s="72">
        <f>$B$51*0.12*60000</f>
        <v>1532160</v>
      </c>
      <c r="D72" s="72">
        <f>$B$51*0.12*90000</f>
        <v>2298240</v>
      </c>
      <c r="E72" s="72">
        <f>$B$51*0.12*120000</f>
        <v>3064320</v>
      </c>
      <c r="F72" s="71"/>
    </row>
    <row r="73" spans="1:6" ht="15" customHeight="1" x14ac:dyDescent="0.35">
      <c r="A73" s="47" t="s">
        <v>857</v>
      </c>
      <c r="B73" s="59">
        <f>$B$51*0.2*30000</f>
        <v>1276800</v>
      </c>
      <c r="C73" s="59">
        <f>$B$51*0.2*60000</f>
        <v>2553600</v>
      </c>
      <c r="D73" s="59">
        <f>$B$51*0.2*90000</f>
        <v>3830400</v>
      </c>
      <c r="E73" s="59">
        <f>$B$51*0.2*120000</f>
        <v>5107200</v>
      </c>
      <c r="F73" s="47"/>
    </row>
    <row r="74" spans="1:6" ht="15" customHeight="1" x14ac:dyDescent="0.35">
      <c r="A74" s="47" t="s">
        <v>858</v>
      </c>
      <c r="B74" s="59">
        <f>$B$51*0.3*30000</f>
        <v>1915200</v>
      </c>
      <c r="C74" s="59">
        <f>$B$51*0.3*60000</f>
        <v>3830400</v>
      </c>
      <c r="D74" s="59">
        <f>$B$51*0.3*90000</f>
        <v>5745600</v>
      </c>
      <c r="E74" s="59">
        <f>$B$51*0.3*120000</f>
        <v>7660800</v>
      </c>
      <c r="F74" s="47"/>
    </row>
    <row r="75" spans="1:6" ht="40" customHeight="1" x14ac:dyDescent="0.35">
      <c r="A75" s="53" t="s">
        <v>859</v>
      </c>
    </row>
    <row r="77" spans="1:6" ht="19.5" customHeight="1" x14ac:dyDescent="0.35">
      <c r="A77" s="44" t="s">
        <v>860</v>
      </c>
      <c r="B77" s="45"/>
      <c r="C77" s="45"/>
      <c r="D77" s="45"/>
      <c r="E77" s="45"/>
      <c r="F77" s="45"/>
    </row>
    <row r="78" spans="1:6" ht="57.5" customHeight="1" x14ac:dyDescent="0.35">
      <c r="A78" s="64" t="s">
        <v>861</v>
      </c>
    </row>
    <row r="79" spans="1:6" ht="57.5" customHeight="1" x14ac:dyDescent="0.35">
      <c r="A79" s="64" t="s">
        <v>862</v>
      </c>
    </row>
    <row r="80" spans="1:6" ht="46" customHeight="1" x14ac:dyDescent="0.35">
      <c r="A80" s="64" t="s">
        <v>863</v>
      </c>
    </row>
    <row r="81" spans="1:1" ht="34.5" customHeight="1" x14ac:dyDescent="0.35">
      <c r="A81" s="64" t="s">
        <v>864</v>
      </c>
    </row>
    <row r="82" spans="1:1" ht="34.5" customHeight="1" x14ac:dyDescent="0.35">
      <c r="A82" s="64" t="s">
        <v>865</v>
      </c>
    </row>
  </sheetData>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0"/>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453125" defaultRowHeight="14.5" x14ac:dyDescent="0.35"/>
  <cols>
    <col min="1" max="1" width="20" customWidth="1"/>
    <col min="2" max="2" width="10" customWidth="1"/>
    <col min="3" max="3" width="28" customWidth="1"/>
    <col min="4" max="4" width="22" customWidth="1"/>
    <col min="5" max="5" width="20" customWidth="1"/>
    <col min="6" max="6" width="24" customWidth="1"/>
    <col min="7" max="7" width="32" customWidth="1"/>
    <col min="8" max="9" width="30" customWidth="1"/>
    <col min="10" max="10" width="22" customWidth="1"/>
    <col min="11" max="11" width="30" customWidth="1"/>
    <col min="12" max="12" width="46" customWidth="1"/>
  </cols>
  <sheetData>
    <row r="1" spans="1:12" ht="21.75" customHeight="1" x14ac:dyDescent="0.4">
      <c r="A1" s="1" t="s">
        <v>866</v>
      </c>
    </row>
    <row r="2" spans="1:12" x14ac:dyDescent="0.35">
      <c r="A2" s="2" t="s">
        <v>867</v>
      </c>
    </row>
    <row r="4" spans="1:12" ht="39.75" customHeight="1" x14ac:dyDescent="0.35">
      <c r="A4" s="46" t="s">
        <v>31</v>
      </c>
      <c r="B4" s="46" t="s">
        <v>34</v>
      </c>
      <c r="C4" s="46" t="s">
        <v>868</v>
      </c>
      <c r="D4" s="46" t="s">
        <v>869</v>
      </c>
      <c r="E4" s="46" t="s">
        <v>870</v>
      </c>
      <c r="F4" s="46" t="s">
        <v>871</v>
      </c>
      <c r="G4" s="46" t="s">
        <v>872</v>
      </c>
      <c r="H4" s="46" t="s">
        <v>873</v>
      </c>
      <c r="I4" s="46" t="s">
        <v>874</v>
      </c>
      <c r="J4" s="46" t="s">
        <v>875</v>
      </c>
      <c r="K4" s="46" t="s">
        <v>46</v>
      </c>
      <c r="L4" s="46" t="s">
        <v>876</v>
      </c>
    </row>
    <row r="5" spans="1:12" ht="34.5" customHeight="1" x14ac:dyDescent="0.35">
      <c r="A5" s="9" t="s">
        <v>49</v>
      </c>
      <c r="B5" s="10" t="s">
        <v>24</v>
      </c>
      <c r="C5" s="10" t="s">
        <v>877</v>
      </c>
      <c r="D5" s="10" t="s">
        <v>878</v>
      </c>
      <c r="E5" s="10" t="s">
        <v>879</v>
      </c>
      <c r="F5" s="10" t="s">
        <v>880</v>
      </c>
      <c r="G5" s="10" t="s">
        <v>881</v>
      </c>
      <c r="H5" s="10" t="s">
        <v>882</v>
      </c>
      <c r="I5" s="10" t="s">
        <v>883</v>
      </c>
      <c r="J5" s="10" t="s">
        <v>884</v>
      </c>
      <c r="K5" s="10" t="s">
        <v>63</v>
      </c>
      <c r="L5" s="10" t="s">
        <v>885</v>
      </c>
    </row>
    <row r="6" spans="1:12" ht="34.5" customHeight="1" x14ac:dyDescent="0.35">
      <c r="A6" s="32" t="s">
        <v>66</v>
      </c>
      <c r="B6" s="11" t="s">
        <v>25</v>
      </c>
      <c r="C6" s="11" t="s">
        <v>886</v>
      </c>
      <c r="D6" s="11" t="s">
        <v>887</v>
      </c>
      <c r="E6" s="11" t="s">
        <v>888</v>
      </c>
      <c r="F6" s="11" t="s">
        <v>889</v>
      </c>
      <c r="G6" s="11" t="s">
        <v>890</v>
      </c>
      <c r="H6" s="11" t="s">
        <v>891</v>
      </c>
      <c r="I6" s="11" t="s">
        <v>892</v>
      </c>
      <c r="J6" s="11" t="s">
        <v>893</v>
      </c>
      <c r="K6" s="11" t="s">
        <v>77</v>
      </c>
      <c r="L6" s="11" t="s">
        <v>894</v>
      </c>
    </row>
    <row r="7" spans="1:12" ht="23" customHeight="1" x14ac:dyDescent="0.35">
      <c r="A7" s="32" t="s">
        <v>80</v>
      </c>
      <c r="B7" s="11" t="s">
        <v>24</v>
      </c>
      <c r="C7" s="11" t="s">
        <v>895</v>
      </c>
      <c r="D7" s="11" t="s">
        <v>896</v>
      </c>
      <c r="E7" s="11" t="s">
        <v>897</v>
      </c>
      <c r="F7" s="11" t="s">
        <v>898</v>
      </c>
      <c r="G7" s="11" t="s">
        <v>899</v>
      </c>
      <c r="H7" s="11" t="s">
        <v>900</v>
      </c>
      <c r="I7" s="11" t="s">
        <v>901</v>
      </c>
      <c r="J7" s="11" t="s">
        <v>902</v>
      </c>
      <c r="K7" s="11" t="s">
        <v>903</v>
      </c>
      <c r="L7" s="11" t="s">
        <v>904</v>
      </c>
    </row>
    <row r="8" spans="1:12" ht="34.5" customHeight="1" x14ac:dyDescent="0.35">
      <c r="A8" s="32" t="s">
        <v>905</v>
      </c>
      <c r="B8" s="11" t="s">
        <v>25</v>
      </c>
      <c r="C8" s="11" t="s">
        <v>230</v>
      </c>
      <c r="D8" s="11" t="s">
        <v>906</v>
      </c>
      <c r="E8" s="11" t="s">
        <v>907</v>
      </c>
      <c r="F8" s="11" t="s">
        <v>908</v>
      </c>
      <c r="G8" s="11" t="s">
        <v>909</v>
      </c>
      <c r="H8" s="11" t="s">
        <v>910</v>
      </c>
      <c r="I8" s="11" t="s">
        <v>911</v>
      </c>
      <c r="J8" s="11" t="s">
        <v>912</v>
      </c>
      <c r="K8" s="11" t="s">
        <v>913</v>
      </c>
      <c r="L8" s="11" t="s">
        <v>914</v>
      </c>
    </row>
    <row r="9" spans="1:12" ht="34.5" customHeight="1" x14ac:dyDescent="0.35">
      <c r="A9" s="13" t="s">
        <v>341</v>
      </c>
      <c r="B9" s="14" t="s">
        <v>24</v>
      </c>
      <c r="C9" s="14" t="s">
        <v>915</v>
      </c>
      <c r="D9" s="14" t="s">
        <v>916</v>
      </c>
      <c r="E9" s="14" t="s">
        <v>917</v>
      </c>
      <c r="F9" s="14" t="s">
        <v>918</v>
      </c>
      <c r="G9" s="14" t="s">
        <v>919</v>
      </c>
      <c r="H9" s="14" t="s">
        <v>920</v>
      </c>
      <c r="I9" s="14" t="s">
        <v>921</v>
      </c>
      <c r="J9" s="14" t="s">
        <v>922</v>
      </c>
      <c r="K9" s="14" t="s">
        <v>348</v>
      </c>
      <c r="L9" s="14" t="s">
        <v>923</v>
      </c>
    </row>
    <row r="10" spans="1:12" ht="34.5" customHeight="1" x14ac:dyDescent="0.35">
      <c r="A10" s="32" t="s">
        <v>924</v>
      </c>
      <c r="B10" s="11" t="s">
        <v>26</v>
      </c>
      <c r="C10" s="11" t="s">
        <v>111</v>
      </c>
      <c r="D10" s="11" t="s">
        <v>925</v>
      </c>
      <c r="E10" s="11" t="s">
        <v>926</v>
      </c>
      <c r="F10" s="11" t="s">
        <v>927</v>
      </c>
      <c r="G10" s="11" t="s">
        <v>928</v>
      </c>
      <c r="H10" s="11" t="s">
        <v>929</v>
      </c>
      <c r="I10" s="11" t="s">
        <v>930</v>
      </c>
      <c r="J10" s="11" t="s">
        <v>931</v>
      </c>
      <c r="K10" s="11" t="s">
        <v>932</v>
      </c>
      <c r="L10" s="11" t="s">
        <v>933</v>
      </c>
    </row>
    <row r="11" spans="1:12" ht="34.5" customHeight="1" x14ac:dyDescent="0.35">
      <c r="A11" s="32" t="s">
        <v>118</v>
      </c>
      <c r="B11" s="11" t="s">
        <v>24</v>
      </c>
      <c r="C11" s="11" t="s">
        <v>934</v>
      </c>
      <c r="D11" s="11" t="s">
        <v>935</v>
      </c>
      <c r="E11" s="11" t="s">
        <v>888</v>
      </c>
      <c r="F11" s="11" t="s">
        <v>936</v>
      </c>
      <c r="G11" s="11" t="s">
        <v>937</v>
      </c>
      <c r="H11" s="11" t="s">
        <v>938</v>
      </c>
      <c r="I11" s="11" t="s">
        <v>939</v>
      </c>
      <c r="J11" s="11" t="s">
        <v>940</v>
      </c>
      <c r="K11" s="11" t="s">
        <v>130</v>
      </c>
      <c r="L11" s="11" t="s">
        <v>941</v>
      </c>
    </row>
    <row r="12" spans="1:12" ht="34.5" customHeight="1" x14ac:dyDescent="0.35">
      <c r="A12" s="32" t="s">
        <v>145</v>
      </c>
      <c r="B12" s="11" t="s">
        <v>26</v>
      </c>
      <c r="C12" s="11" t="s">
        <v>942</v>
      </c>
      <c r="D12" s="11" t="s">
        <v>943</v>
      </c>
      <c r="E12" s="11" t="s">
        <v>944</v>
      </c>
      <c r="F12" s="11" t="s">
        <v>945</v>
      </c>
      <c r="G12" s="11" t="s">
        <v>946</v>
      </c>
      <c r="H12" s="11" t="s">
        <v>947</v>
      </c>
      <c r="I12" s="11" t="s">
        <v>948</v>
      </c>
      <c r="J12" s="11" t="s">
        <v>949</v>
      </c>
      <c r="K12" s="11" t="s">
        <v>950</v>
      </c>
      <c r="L12" s="11" t="s">
        <v>951</v>
      </c>
    </row>
    <row r="13" spans="1:12" ht="23" customHeight="1" x14ac:dyDescent="0.35">
      <c r="A13" s="32" t="s">
        <v>157</v>
      </c>
      <c r="B13" s="11" t="s">
        <v>26</v>
      </c>
      <c r="C13" s="11" t="s">
        <v>952</v>
      </c>
      <c r="D13" s="11" t="s">
        <v>953</v>
      </c>
      <c r="E13" s="11" t="s">
        <v>26</v>
      </c>
      <c r="F13" s="11" t="s">
        <v>954</v>
      </c>
      <c r="G13" s="11" t="s">
        <v>955</v>
      </c>
      <c r="H13" s="11" t="s">
        <v>956</v>
      </c>
      <c r="I13" s="11" t="s">
        <v>957</v>
      </c>
      <c r="J13" s="11" t="s">
        <v>912</v>
      </c>
      <c r="K13" s="11" t="s">
        <v>165</v>
      </c>
      <c r="L13" s="11" t="s">
        <v>958</v>
      </c>
    </row>
    <row r="14" spans="1:12" ht="34.5" customHeight="1" x14ac:dyDescent="0.35">
      <c r="A14" s="32" t="s">
        <v>168</v>
      </c>
      <c r="B14" s="11" t="s">
        <v>26</v>
      </c>
      <c r="C14" s="11" t="s">
        <v>959</v>
      </c>
      <c r="D14" s="11" t="s">
        <v>960</v>
      </c>
      <c r="E14" s="11" t="s">
        <v>26</v>
      </c>
      <c r="F14" s="11" t="s">
        <v>961</v>
      </c>
      <c r="G14" s="11" t="s">
        <v>962</v>
      </c>
      <c r="H14" s="11" t="s">
        <v>963</v>
      </c>
      <c r="I14" s="11" t="s">
        <v>964</v>
      </c>
      <c r="J14" s="11" t="s">
        <v>931</v>
      </c>
      <c r="K14" s="11" t="s">
        <v>965</v>
      </c>
      <c r="L14" s="11" t="s">
        <v>966</v>
      </c>
    </row>
    <row r="15" spans="1:12" ht="23" customHeight="1" x14ac:dyDescent="0.35">
      <c r="A15" s="32" t="s">
        <v>179</v>
      </c>
      <c r="B15" s="11" t="s">
        <v>26</v>
      </c>
      <c r="C15" s="11" t="s">
        <v>184</v>
      </c>
      <c r="D15" s="11" t="s">
        <v>967</v>
      </c>
      <c r="E15" s="11" t="s">
        <v>26</v>
      </c>
      <c r="F15" s="11" t="s">
        <v>968</v>
      </c>
      <c r="G15" s="11" t="s">
        <v>969</v>
      </c>
      <c r="H15" s="11" t="s">
        <v>970</v>
      </c>
      <c r="I15" s="11" t="s">
        <v>971</v>
      </c>
      <c r="J15" s="11" t="s">
        <v>931</v>
      </c>
      <c r="K15" s="11" t="s">
        <v>950</v>
      </c>
      <c r="L15" s="11" t="s">
        <v>972</v>
      </c>
    </row>
    <row r="16" spans="1:12" ht="23" customHeight="1" x14ac:dyDescent="0.35">
      <c r="A16" s="32" t="s">
        <v>188</v>
      </c>
      <c r="B16" s="11" t="s">
        <v>26</v>
      </c>
      <c r="C16" s="11" t="s">
        <v>973</v>
      </c>
      <c r="D16" s="11" t="s">
        <v>974</v>
      </c>
      <c r="E16" s="11" t="s">
        <v>26</v>
      </c>
      <c r="F16" s="11" t="s">
        <v>975</v>
      </c>
      <c r="G16" s="11" t="s">
        <v>976</v>
      </c>
      <c r="H16" s="11" t="s">
        <v>977</v>
      </c>
      <c r="I16" s="11" t="s">
        <v>978</v>
      </c>
      <c r="J16" s="11" t="s">
        <v>979</v>
      </c>
      <c r="K16" s="11" t="s">
        <v>950</v>
      </c>
      <c r="L16" s="11" t="s">
        <v>980</v>
      </c>
    </row>
    <row r="17" spans="1:12" ht="34.5" customHeight="1" x14ac:dyDescent="0.35">
      <c r="A17" s="32" t="s">
        <v>224</v>
      </c>
      <c r="B17" s="11" t="s">
        <v>26</v>
      </c>
      <c r="C17" s="11" t="s">
        <v>230</v>
      </c>
      <c r="D17" s="11" t="s">
        <v>981</v>
      </c>
      <c r="E17" s="11" t="s">
        <v>917</v>
      </c>
      <c r="F17" s="11" t="s">
        <v>982</v>
      </c>
      <c r="G17" s="11" t="s">
        <v>983</v>
      </c>
      <c r="H17" s="11" t="s">
        <v>984</v>
      </c>
      <c r="I17" s="11" t="s">
        <v>985</v>
      </c>
      <c r="J17" s="11" t="s">
        <v>931</v>
      </c>
      <c r="K17" s="11" t="s">
        <v>986</v>
      </c>
      <c r="L17" s="11" t="s">
        <v>987</v>
      </c>
    </row>
    <row r="18" spans="1:12" ht="21.75" customHeight="1" x14ac:dyDescent="0.35">
      <c r="A18" s="32" t="s">
        <v>244</v>
      </c>
      <c r="B18" s="11" t="s">
        <v>988</v>
      </c>
      <c r="C18" s="11" t="s">
        <v>989</v>
      </c>
      <c r="D18" s="11" t="s">
        <v>990</v>
      </c>
      <c r="E18" s="11" t="s">
        <v>991</v>
      </c>
      <c r="F18" s="11" t="s">
        <v>992</v>
      </c>
      <c r="G18" s="11" t="s">
        <v>993</v>
      </c>
      <c r="H18" s="11" t="s">
        <v>994</v>
      </c>
      <c r="I18" s="11" t="s">
        <v>995</v>
      </c>
      <c r="J18" s="11" t="s">
        <v>931</v>
      </c>
      <c r="K18" s="11" t="s">
        <v>950</v>
      </c>
      <c r="L18" s="11" t="s">
        <v>996</v>
      </c>
    </row>
    <row r="19" spans="1:12" ht="23" customHeight="1" x14ac:dyDescent="0.35">
      <c r="A19" s="32" t="s">
        <v>259</v>
      </c>
      <c r="B19" s="11" t="s">
        <v>25</v>
      </c>
      <c r="C19" s="11" t="s">
        <v>262</v>
      </c>
      <c r="D19" s="11" t="s">
        <v>409</v>
      </c>
      <c r="E19" s="11" t="s">
        <v>917</v>
      </c>
      <c r="F19" s="11" t="s">
        <v>997</v>
      </c>
      <c r="G19" s="11" t="s">
        <v>998</v>
      </c>
      <c r="H19" s="11" t="s">
        <v>999</v>
      </c>
      <c r="I19" s="11" t="s">
        <v>1000</v>
      </c>
      <c r="J19" s="11" t="s">
        <v>912</v>
      </c>
      <c r="K19" s="11" t="s">
        <v>267</v>
      </c>
      <c r="L19" s="11" t="s">
        <v>1001</v>
      </c>
    </row>
    <row r="20" spans="1:12" ht="23" customHeight="1" x14ac:dyDescent="0.35">
      <c r="A20" s="32" t="s">
        <v>375</v>
      </c>
      <c r="B20" s="11" t="s">
        <v>988</v>
      </c>
      <c r="C20" s="11" t="s">
        <v>318</v>
      </c>
      <c r="D20" s="11" t="s">
        <v>1002</v>
      </c>
      <c r="E20" s="11" t="s">
        <v>917</v>
      </c>
      <c r="F20" s="11" t="s">
        <v>1003</v>
      </c>
      <c r="G20" s="11" t="s">
        <v>1004</v>
      </c>
      <c r="H20" s="11" t="s">
        <v>1005</v>
      </c>
      <c r="I20" s="11" t="s">
        <v>1006</v>
      </c>
      <c r="J20" s="11" t="s">
        <v>1007</v>
      </c>
      <c r="K20" s="11" t="s">
        <v>323</v>
      </c>
      <c r="L20" s="11" t="s">
        <v>1008</v>
      </c>
    </row>
    <row r="22" spans="1:12" ht="15" customHeight="1" x14ac:dyDescent="0.35">
      <c r="A22" s="73" t="s">
        <v>1009</v>
      </c>
      <c r="B22" s="45"/>
      <c r="C22" s="45"/>
      <c r="D22" s="45"/>
      <c r="E22" s="45"/>
      <c r="F22" s="45"/>
      <c r="G22" s="45"/>
      <c r="H22" s="45"/>
      <c r="I22" s="45"/>
      <c r="J22" s="45"/>
      <c r="K22" s="45"/>
      <c r="L22" s="45"/>
    </row>
    <row r="23" spans="1:12" ht="103.5" customHeight="1" x14ac:dyDescent="0.35">
      <c r="A23" s="32" t="s">
        <v>1010</v>
      </c>
      <c r="B23" s="74"/>
      <c r="C23" s="11" t="s">
        <v>1011</v>
      </c>
      <c r="D23" s="74"/>
      <c r="E23" s="74"/>
      <c r="F23" s="74"/>
      <c r="G23" s="74"/>
      <c r="H23" s="74"/>
      <c r="I23" s="74"/>
      <c r="J23" s="74"/>
      <c r="K23" s="74"/>
      <c r="L23" s="74"/>
    </row>
    <row r="24" spans="1:12" ht="92" customHeight="1" x14ac:dyDescent="0.35">
      <c r="A24" s="32" t="s">
        <v>1012</v>
      </c>
      <c r="B24" s="74"/>
      <c r="C24" s="11" t="s">
        <v>1013</v>
      </c>
      <c r="D24" s="74"/>
      <c r="E24" s="74"/>
      <c r="F24" s="74"/>
      <c r="G24" s="74"/>
      <c r="H24" s="74"/>
      <c r="I24" s="74"/>
      <c r="J24" s="74"/>
      <c r="K24" s="74"/>
      <c r="L24" s="74"/>
    </row>
    <row r="25" spans="1:12" ht="69" customHeight="1" x14ac:dyDescent="0.35">
      <c r="A25" s="32" t="s">
        <v>1014</v>
      </c>
      <c r="B25" s="74"/>
      <c r="C25" s="11" t="s">
        <v>1015</v>
      </c>
      <c r="D25" s="74"/>
      <c r="E25" s="74"/>
      <c r="F25" s="74"/>
      <c r="G25" s="74"/>
      <c r="H25" s="74"/>
      <c r="I25" s="74"/>
      <c r="J25" s="74"/>
      <c r="K25" s="74"/>
      <c r="L25" s="74"/>
    </row>
    <row r="26" spans="1:12" ht="92" customHeight="1" x14ac:dyDescent="0.35">
      <c r="A26" s="32" t="s">
        <v>1016</v>
      </c>
      <c r="B26" s="74"/>
      <c r="C26" s="11" t="s">
        <v>1017</v>
      </c>
      <c r="D26" s="74"/>
      <c r="E26" s="74"/>
      <c r="F26" s="74"/>
      <c r="G26" s="74"/>
      <c r="H26" s="74"/>
      <c r="I26" s="74"/>
      <c r="J26" s="74"/>
      <c r="K26" s="74"/>
      <c r="L26" s="74"/>
    </row>
    <row r="27" spans="1:12" ht="69" customHeight="1" x14ac:dyDescent="0.35">
      <c r="A27" s="32" t="s">
        <v>1018</v>
      </c>
      <c r="B27" s="74"/>
      <c r="C27" s="11" t="s">
        <v>1019</v>
      </c>
      <c r="D27" s="74"/>
      <c r="E27" s="74"/>
      <c r="F27" s="74"/>
      <c r="G27" s="74"/>
      <c r="H27" s="74"/>
      <c r="I27" s="74"/>
      <c r="J27" s="74"/>
      <c r="K27" s="74"/>
      <c r="L27" s="74"/>
    </row>
    <row r="29" spans="1:12" ht="15" customHeight="1" x14ac:dyDescent="0.35">
      <c r="A29" s="73" t="s">
        <v>1020</v>
      </c>
      <c r="B29" s="45"/>
      <c r="C29" s="45"/>
      <c r="D29" s="45"/>
      <c r="E29" s="45"/>
      <c r="F29" s="45"/>
      <c r="G29" s="45"/>
      <c r="H29" s="45"/>
      <c r="I29" s="45"/>
      <c r="J29" s="45"/>
      <c r="K29" s="45"/>
      <c r="L29" s="45"/>
    </row>
    <row r="30" spans="1:12" ht="103.5" customHeight="1" x14ac:dyDescent="0.35">
      <c r="A30" s="32" t="s">
        <v>1021</v>
      </c>
      <c r="B30" s="74"/>
      <c r="C30" s="11" t="s">
        <v>1022</v>
      </c>
      <c r="D30" s="74"/>
      <c r="E30" s="74"/>
      <c r="F30" s="74"/>
      <c r="G30" s="74"/>
      <c r="H30" s="74"/>
      <c r="I30" s="74"/>
      <c r="J30" s="74"/>
      <c r="K30" s="74"/>
      <c r="L30" s="74"/>
    </row>
    <row r="31" spans="1:12" ht="69" customHeight="1" x14ac:dyDescent="0.35">
      <c r="A31" s="32" t="s">
        <v>1023</v>
      </c>
      <c r="B31" s="74"/>
      <c r="C31" s="11" t="s">
        <v>1024</v>
      </c>
      <c r="D31" s="74"/>
      <c r="E31" s="74"/>
      <c r="F31" s="74"/>
      <c r="G31" s="74"/>
      <c r="H31" s="74"/>
      <c r="I31" s="74"/>
      <c r="J31" s="74"/>
      <c r="K31" s="74"/>
      <c r="L31" s="74"/>
    </row>
    <row r="32" spans="1:12" ht="103.5" customHeight="1" x14ac:dyDescent="0.35">
      <c r="A32" s="32" t="s">
        <v>1025</v>
      </c>
      <c r="B32" s="74"/>
      <c r="C32" s="11" t="s">
        <v>1026</v>
      </c>
      <c r="D32" s="74"/>
      <c r="E32" s="74"/>
      <c r="F32" s="74"/>
      <c r="G32" s="74"/>
      <c r="H32" s="74"/>
      <c r="I32" s="74"/>
      <c r="J32" s="74"/>
      <c r="K32" s="74"/>
      <c r="L32" s="74"/>
    </row>
    <row r="33" spans="1:12" ht="115" customHeight="1" x14ac:dyDescent="0.35">
      <c r="A33" s="32" t="s">
        <v>1027</v>
      </c>
      <c r="B33" s="74"/>
      <c r="C33" s="11" t="s">
        <v>1028</v>
      </c>
      <c r="D33" s="74"/>
      <c r="E33" s="74"/>
      <c r="F33" s="74"/>
      <c r="G33" s="74"/>
      <c r="H33" s="74"/>
      <c r="I33" s="74"/>
      <c r="J33" s="74"/>
      <c r="K33" s="74"/>
      <c r="L33" s="74"/>
    </row>
    <row r="35" spans="1:12" ht="15" customHeight="1" x14ac:dyDescent="0.35">
      <c r="A35" s="73" t="s">
        <v>1029</v>
      </c>
      <c r="B35" s="45"/>
      <c r="C35" s="45"/>
      <c r="D35" s="45"/>
      <c r="E35" s="45"/>
      <c r="F35" s="45"/>
      <c r="G35" s="45"/>
      <c r="H35" s="45"/>
      <c r="I35" s="45"/>
      <c r="J35" s="45"/>
      <c r="K35" s="45"/>
      <c r="L35" s="45"/>
    </row>
    <row r="36" spans="1:12" ht="80.5" customHeight="1" x14ac:dyDescent="0.35">
      <c r="A36" s="75" t="s">
        <v>1030</v>
      </c>
      <c r="B36" s="76"/>
      <c r="C36" s="31" t="s">
        <v>1031</v>
      </c>
      <c r="D36" s="76"/>
      <c r="E36" s="76"/>
      <c r="F36" s="76"/>
      <c r="G36" s="76"/>
      <c r="H36" s="76"/>
      <c r="I36" s="76"/>
      <c r="J36" s="76"/>
      <c r="K36" s="76"/>
      <c r="L36" s="76"/>
    </row>
    <row r="37" spans="1:12" ht="80.5" customHeight="1" x14ac:dyDescent="0.35">
      <c r="A37" s="75" t="s">
        <v>1032</v>
      </c>
      <c r="B37" s="76"/>
      <c r="C37" s="31" t="s">
        <v>1033</v>
      </c>
      <c r="D37" s="76"/>
      <c r="E37" s="76"/>
      <c r="F37" s="76"/>
      <c r="G37" s="76"/>
      <c r="H37" s="76"/>
      <c r="I37" s="76"/>
      <c r="J37" s="76"/>
      <c r="K37" s="76"/>
      <c r="L37" s="76"/>
    </row>
    <row r="38" spans="1:12" ht="69" customHeight="1" x14ac:dyDescent="0.35">
      <c r="A38" s="77" t="s">
        <v>1034</v>
      </c>
      <c r="B38" s="78"/>
      <c r="C38" s="12" t="s">
        <v>1035</v>
      </c>
      <c r="D38" s="78"/>
      <c r="E38" s="78"/>
      <c r="F38" s="78"/>
      <c r="G38" s="78"/>
      <c r="H38" s="78"/>
      <c r="I38" s="78"/>
      <c r="J38" s="78"/>
      <c r="K38" s="78"/>
      <c r="L38" s="78"/>
    </row>
    <row r="39" spans="1:12" ht="57.5" customHeight="1" x14ac:dyDescent="0.35">
      <c r="A39" s="77" t="s">
        <v>1036</v>
      </c>
      <c r="B39" s="78"/>
      <c r="C39" s="12" t="s">
        <v>1037</v>
      </c>
      <c r="D39" s="78"/>
      <c r="E39" s="78"/>
      <c r="F39" s="78"/>
      <c r="G39" s="78"/>
      <c r="H39" s="78"/>
      <c r="I39" s="78"/>
      <c r="J39" s="78"/>
      <c r="K39" s="78"/>
      <c r="L39" s="78"/>
    </row>
    <row r="40" spans="1:12" ht="57.5" customHeight="1" x14ac:dyDescent="0.35">
      <c r="A40" s="77" t="s">
        <v>1038</v>
      </c>
      <c r="B40" s="78"/>
      <c r="C40" s="12" t="s">
        <v>1039</v>
      </c>
      <c r="D40" s="78"/>
      <c r="E40" s="78"/>
      <c r="F40" s="78"/>
      <c r="G40" s="78"/>
      <c r="H40" s="78"/>
      <c r="I40" s="78"/>
      <c r="J40" s="78"/>
      <c r="K40" s="78"/>
      <c r="L40" s="78"/>
    </row>
  </sheetData>
  <autoFilter ref="A4:L20" xr:uid="{00000000-0009-0000-0000-000008000000}"/>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showGridLines="0" workbookViewId="0"/>
  </sheetViews>
  <sheetFormatPr defaultRowHeight="14.5" x14ac:dyDescent="0.35"/>
  <cols>
    <col min="1" max="1" width="5" customWidth="1"/>
    <col min="2" max="2" width="24" customWidth="1"/>
    <col min="3" max="5" width="44" customWidth="1"/>
    <col min="6" max="6" width="24" customWidth="1"/>
  </cols>
  <sheetData>
    <row r="1" spans="1:6" ht="22" customHeight="1" x14ac:dyDescent="0.4">
      <c r="A1" s="80" t="s">
        <v>1040</v>
      </c>
    </row>
    <row r="2" spans="1:6" x14ac:dyDescent="0.35">
      <c r="A2" s="81" t="s">
        <v>1041</v>
      </c>
    </row>
    <row r="4" spans="1:6" ht="26" customHeight="1" x14ac:dyDescent="0.35">
      <c r="A4" s="82" t="s">
        <v>1042</v>
      </c>
      <c r="B4" s="82" t="s">
        <v>1043</v>
      </c>
      <c r="C4" s="82" t="s">
        <v>1044</v>
      </c>
      <c r="D4" s="82" t="s">
        <v>1045</v>
      </c>
      <c r="E4" s="82" t="s">
        <v>1046</v>
      </c>
      <c r="F4" s="82" t="s">
        <v>1047</v>
      </c>
    </row>
    <row r="5" spans="1:6" ht="46" customHeight="1" x14ac:dyDescent="0.35">
      <c r="A5" s="83" t="s">
        <v>1048</v>
      </c>
      <c r="B5" s="83" t="s">
        <v>1049</v>
      </c>
      <c r="C5" s="84" t="s">
        <v>1050</v>
      </c>
      <c r="D5" s="84" t="s">
        <v>1051</v>
      </c>
      <c r="E5" s="84" t="s">
        <v>1052</v>
      </c>
      <c r="F5" s="84" t="s">
        <v>1053</v>
      </c>
    </row>
    <row r="6" spans="1:6" ht="57.5" customHeight="1" x14ac:dyDescent="0.35">
      <c r="A6" s="83" t="s">
        <v>1054</v>
      </c>
      <c r="B6" s="83" t="s">
        <v>1055</v>
      </c>
      <c r="C6" s="84" t="s">
        <v>1056</v>
      </c>
      <c r="D6" s="84" t="s">
        <v>1057</v>
      </c>
      <c r="E6" s="84" t="s">
        <v>1058</v>
      </c>
      <c r="F6" s="84" t="s">
        <v>1059</v>
      </c>
    </row>
    <row r="7" spans="1:6" ht="46" customHeight="1" x14ac:dyDescent="0.35">
      <c r="A7" s="83" t="s">
        <v>1060</v>
      </c>
      <c r="B7" s="83" t="s">
        <v>1061</v>
      </c>
      <c r="C7" s="84" t="s">
        <v>1062</v>
      </c>
      <c r="D7" s="84" t="s">
        <v>1063</v>
      </c>
      <c r="E7" s="84" t="s">
        <v>1064</v>
      </c>
      <c r="F7" s="84" t="s">
        <v>1053</v>
      </c>
    </row>
    <row r="8" spans="1:6" ht="46" customHeight="1" x14ac:dyDescent="0.35">
      <c r="A8" s="83" t="s">
        <v>1065</v>
      </c>
      <c r="B8" s="83" t="s">
        <v>1066</v>
      </c>
      <c r="C8" s="84" t="s">
        <v>1067</v>
      </c>
      <c r="D8" s="84" t="s">
        <v>1068</v>
      </c>
      <c r="E8" s="84" t="s">
        <v>1069</v>
      </c>
      <c r="F8" s="84" t="s">
        <v>1059</v>
      </c>
    </row>
    <row r="9" spans="1:6" ht="57.5" customHeight="1" x14ac:dyDescent="0.35">
      <c r="A9" s="83" t="s">
        <v>1070</v>
      </c>
      <c r="B9" s="83" t="s">
        <v>1071</v>
      </c>
      <c r="C9" s="84" t="s">
        <v>1072</v>
      </c>
      <c r="D9" s="84" t="s">
        <v>1073</v>
      </c>
      <c r="E9" s="84" t="s">
        <v>1074</v>
      </c>
      <c r="F9" s="84" t="s">
        <v>1075</v>
      </c>
    </row>
    <row r="10" spans="1:6" ht="57.5" customHeight="1" x14ac:dyDescent="0.35">
      <c r="A10" s="83" t="s">
        <v>1076</v>
      </c>
      <c r="B10" s="83" t="s">
        <v>1077</v>
      </c>
      <c r="C10" s="84" t="s">
        <v>1078</v>
      </c>
      <c r="D10" s="84" t="s">
        <v>1079</v>
      </c>
      <c r="E10" s="84" t="s">
        <v>1080</v>
      </c>
      <c r="F10" s="84" t="s">
        <v>1059</v>
      </c>
    </row>
    <row r="11" spans="1:6" ht="46" customHeight="1" x14ac:dyDescent="0.35">
      <c r="A11" s="83" t="s">
        <v>1081</v>
      </c>
      <c r="B11" s="83" t="s">
        <v>1082</v>
      </c>
      <c r="C11" s="84" t="s">
        <v>1083</v>
      </c>
      <c r="D11" s="84" t="s">
        <v>1084</v>
      </c>
      <c r="E11" s="84" t="s">
        <v>1085</v>
      </c>
      <c r="F11" s="84" t="s">
        <v>1075</v>
      </c>
    </row>
    <row r="13" spans="1:6" x14ac:dyDescent="0.35">
      <c r="A13" s="85" t="s">
        <v>1086</v>
      </c>
      <c r="B13" s="86"/>
      <c r="C13" s="86"/>
      <c r="D13" s="86"/>
      <c r="E13" s="86"/>
      <c r="F13" s="86"/>
    </row>
    <row r="14" spans="1:6" ht="40" customHeight="1" x14ac:dyDescent="0.35">
      <c r="A14" s="126" t="s">
        <v>1087</v>
      </c>
      <c r="B14" s="127"/>
      <c r="C14" s="127"/>
      <c r="D14" s="127"/>
      <c r="E14" s="127"/>
      <c r="F14" s="128"/>
    </row>
    <row r="15" spans="1:6" ht="40" customHeight="1" x14ac:dyDescent="0.35">
      <c r="A15" s="126" t="s">
        <v>1088</v>
      </c>
      <c r="B15" s="127"/>
      <c r="C15" s="127"/>
      <c r="D15" s="127"/>
      <c r="E15" s="127"/>
      <c r="F15" s="128"/>
    </row>
    <row r="16" spans="1:6" ht="40" customHeight="1" x14ac:dyDescent="0.35">
      <c r="A16" s="129" t="s">
        <v>1089</v>
      </c>
      <c r="B16" s="127"/>
      <c r="C16" s="127"/>
      <c r="D16" s="127"/>
      <c r="E16" s="127"/>
      <c r="F16" s="128"/>
    </row>
  </sheetData>
  <mergeCells count="3">
    <mergeCell ref="A14:F14"/>
    <mergeCell ref="A16:F16"/>
    <mergeCell ref="A15:F1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5"/>
  <sheetViews>
    <sheetView showGridLines="0" workbookViewId="0"/>
  </sheetViews>
  <sheetFormatPr defaultRowHeight="14.5" x14ac:dyDescent="0.35"/>
  <cols>
    <col min="1" max="1" width="46" customWidth="1"/>
    <col min="2" max="4" width="15" customWidth="1"/>
    <col min="5" max="5" width="13" customWidth="1"/>
    <col min="6" max="6" width="60" customWidth="1"/>
  </cols>
  <sheetData>
    <row r="1" spans="1:6" ht="22" customHeight="1" x14ac:dyDescent="0.4">
      <c r="A1" s="89" t="s">
        <v>1090</v>
      </c>
    </row>
    <row r="2" spans="1:6" x14ac:dyDescent="0.35">
      <c r="A2" s="90" t="s">
        <v>1091</v>
      </c>
    </row>
    <row r="4" spans="1:6" ht="20" customHeight="1" x14ac:dyDescent="0.35">
      <c r="A4" s="91" t="s">
        <v>1092</v>
      </c>
      <c r="B4" s="92"/>
      <c r="C4" s="92"/>
      <c r="D4" s="92"/>
      <c r="E4" s="92"/>
      <c r="F4" s="92"/>
    </row>
    <row r="5" spans="1:6" ht="24" customHeight="1" x14ac:dyDescent="0.35">
      <c r="A5" s="93" t="s">
        <v>1093</v>
      </c>
      <c r="B5" s="93" t="s">
        <v>611</v>
      </c>
      <c r="C5" s="93"/>
      <c r="D5" s="93"/>
      <c r="E5" s="93"/>
      <c r="F5" s="93" t="s">
        <v>388</v>
      </c>
    </row>
    <row r="6" spans="1:6" x14ac:dyDescent="0.35">
      <c r="A6" s="94" t="s">
        <v>1094</v>
      </c>
      <c r="B6" s="95">
        <v>110000</v>
      </c>
      <c r="C6" s="94"/>
      <c r="D6" s="94"/>
      <c r="E6" s="94"/>
      <c r="F6" s="94" t="s">
        <v>1095</v>
      </c>
    </row>
    <row r="7" spans="1:6" x14ac:dyDescent="0.35">
      <c r="A7" s="94" t="s">
        <v>1096</v>
      </c>
      <c r="B7" s="96">
        <v>46</v>
      </c>
      <c r="C7" s="94"/>
      <c r="D7" s="94"/>
      <c r="E7" s="94"/>
      <c r="F7" s="94" t="s">
        <v>1097</v>
      </c>
    </row>
    <row r="8" spans="1:6" x14ac:dyDescent="0.35">
      <c r="A8" s="94" t="s">
        <v>1098</v>
      </c>
      <c r="B8" s="97">
        <f>B6/B7</f>
        <v>2391.304347826087</v>
      </c>
      <c r="C8" s="94"/>
      <c r="D8" s="94"/>
      <c r="E8" s="94"/>
      <c r="F8" s="94" t="s">
        <v>798</v>
      </c>
    </row>
    <row r="9" spans="1:6" x14ac:dyDescent="0.35">
      <c r="A9" s="94" t="s">
        <v>1099</v>
      </c>
      <c r="B9" s="97">
        <f>B6/(B7*5)</f>
        <v>478.26086956521738</v>
      </c>
      <c r="C9" s="94"/>
      <c r="D9" s="94"/>
      <c r="E9" s="94"/>
      <c r="F9" s="94" t="s">
        <v>798</v>
      </c>
    </row>
    <row r="10" spans="1:6" x14ac:dyDescent="0.35">
      <c r="A10" s="94" t="s">
        <v>1100</v>
      </c>
      <c r="B10" s="96">
        <v>4</v>
      </c>
      <c r="C10" s="94"/>
      <c r="D10" s="94"/>
      <c r="E10" s="94"/>
      <c r="F10" s="94" t="s">
        <v>1101</v>
      </c>
    </row>
    <row r="11" spans="1:6" x14ac:dyDescent="0.35">
      <c r="A11" s="94" t="s">
        <v>1102</v>
      </c>
      <c r="B11" s="96">
        <v>2</v>
      </c>
      <c r="C11" s="94"/>
      <c r="D11" s="94"/>
      <c r="E11" s="94"/>
      <c r="F11" s="94" t="s">
        <v>1103</v>
      </c>
    </row>
    <row r="12" spans="1:6" ht="23" customHeight="1" x14ac:dyDescent="0.35">
      <c r="A12" s="94" t="s">
        <v>1104</v>
      </c>
      <c r="B12" s="96">
        <v>6</v>
      </c>
      <c r="C12" s="94"/>
      <c r="D12" s="94"/>
      <c r="E12" s="94"/>
      <c r="F12" s="94" t="s">
        <v>1105</v>
      </c>
    </row>
    <row r="13" spans="1:6" x14ac:dyDescent="0.35">
      <c r="A13" s="94" t="s">
        <v>1106</v>
      </c>
      <c r="B13" s="95">
        <v>90000</v>
      </c>
      <c r="C13" s="94"/>
      <c r="D13" s="94"/>
      <c r="E13" s="94"/>
      <c r="F13" s="94" t="s">
        <v>1107</v>
      </c>
    </row>
    <row r="14" spans="1:6" x14ac:dyDescent="0.35">
      <c r="A14" s="94" t="s">
        <v>1108</v>
      </c>
      <c r="B14" s="96">
        <v>18</v>
      </c>
      <c r="C14" s="94"/>
      <c r="D14" s="94"/>
      <c r="E14" s="94"/>
      <c r="F14" s="94" t="s">
        <v>1109</v>
      </c>
    </row>
    <row r="15" spans="1:6" x14ac:dyDescent="0.35">
      <c r="A15" s="94" t="s">
        <v>1110</v>
      </c>
      <c r="B15" s="97">
        <f>B13/B14</f>
        <v>5000</v>
      </c>
      <c r="C15" s="94"/>
      <c r="D15" s="94"/>
      <c r="E15" s="94"/>
      <c r="F15" s="94" t="s">
        <v>798</v>
      </c>
    </row>
    <row r="16" spans="1:6" ht="23" customHeight="1" x14ac:dyDescent="0.35">
      <c r="A16" s="94" t="s">
        <v>1111</v>
      </c>
      <c r="B16" s="98">
        <v>0.2</v>
      </c>
      <c r="C16" s="94"/>
      <c r="D16" s="94"/>
      <c r="E16" s="94"/>
      <c r="F16" s="94" t="s">
        <v>1112</v>
      </c>
    </row>
    <row r="17" spans="1:6" x14ac:dyDescent="0.35">
      <c r="A17" s="94" t="s">
        <v>1113</v>
      </c>
      <c r="B17" s="95">
        <v>2400</v>
      </c>
      <c r="C17" s="94"/>
      <c r="D17" s="94"/>
      <c r="E17" s="94"/>
      <c r="F17" s="94" t="s">
        <v>1114</v>
      </c>
    </row>
    <row r="18" spans="1:6" x14ac:dyDescent="0.35">
      <c r="A18" s="94" t="s">
        <v>1115</v>
      </c>
      <c r="B18" s="95">
        <v>9000</v>
      </c>
      <c r="C18" s="94"/>
      <c r="D18" s="94"/>
      <c r="E18" s="94"/>
      <c r="F18" s="94" t="s">
        <v>1116</v>
      </c>
    </row>
    <row r="19" spans="1:6" x14ac:dyDescent="0.35">
      <c r="A19" s="94" t="s">
        <v>1117</v>
      </c>
      <c r="B19" s="95">
        <v>4000</v>
      </c>
      <c r="C19" s="94"/>
      <c r="D19" s="94"/>
      <c r="E19" s="94"/>
      <c r="F19" s="94" t="s">
        <v>1118</v>
      </c>
    </row>
    <row r="21" spans="1:6" ht="20" customHeight="1" x14ac:dyDescent="0.35">
      <c r="A21" s="91" t="s">
        <v>1119</v>
      </c>
      <c r="B21" s="92"/>
      <c r="C21" s="92"/>
      <c r="D21" s="92"/>
      <c r="E21" s="92"/>
      <c r="F21" s="92"/>
    </row>
    <row r="22" spans="1:6" ht="24" customHeight="1" x14ac:dyDescent="0.35">
      <c r="A22" s="93"/>
      <c r="B22" s="93" t="s">
        <v>655</v>
      </c>
      <c r="C22" s="93" t="s">
        <v>656</v>
      </c>
      <c r="D22" s="93" t="s">
        <v>409</v>
      </c>
      <c r="E22" s="93"/>
      <c r="F22" s="93" t="s">
        <v>730</v>
      </c>
    </row>
    <row r="23" spans="1:6" x14ac:dyDescent="0.35">
      <c r="A23" s="94" t="s">
        <v>660</v>
      </c>
      <c r="B23" s="96">
        <v>1</v>
      </c>
      <c r="C23" s="96">
        <v>2</v>
      </c>
      <c r="D23" s="96">
        <v>4</v>
      </c>
      <c r="E23" s="94"/>
      <c r="F23" s="94" t="s">
        <v>1120</v>
      </c>
    </row>
    <row r="24" spans="1:6" x14ac:dyDescent="0.35">
      <c r="A24" s="94" t="s">
        <v>661</v>
      </c>
      <c r="B24" s="96">
        <v>0</v>
      </c>
      <c r="C24" s="96">
        <v>1</v>
      </c>
      <c r="D24" s="96">
        <v>2</v>
      </c>
      <c r="E24" s="94"/>
      <c r="F24" s="94"/>
    </row>
    <row r="25" spans="1:6" x14ac:dyDescent="0.35">
      <c r="A25" s="94" t="s">
        <v>1121</v>
      </c>
      <c r="B25" s="94">
        <f>B23+B24</f>
        <v>1</v>
      </c>
      <c r="C25" s="94">
        <f>C23+C24</f>
        <v>3</v>
      </c>
      <c r="D25" s="94">
        <f>D23+D24</f>
        <v>6</v>
      </c>
      <c r="E25" s="94"/>
      <c r="F25" s="94" t="s">
        <v>798</v>
      </c>
    </row>
    <row r="26" spans="1:6" x14ac:dyDescent="0.35">
      <c r="A26" s="94" t="s">
        <v>1122</v>
      </c>
      <c r="B26" s="95">
        <v>30000</v>
      </c>
      <c r="C26" s="95">
        <v>60000</v>
      </c>
      <c r="D26" s="95">
        <v>108000</v>
      </c>
      <c r="E26" s="94"/>
      <c r="F26" s="94" t="s">
        <v>1123</v>
      </c>
    </row>
    <row r="27" spans="1:6" x14ac:dyDescent="0.35">
      <c r="A27" s="94" t="s">
        <v>1124</v>
      </c>
      <c r="B27" s="95">
        <v>9500</v>
      </c>
      <c r="C27" s="95">
        <v>9500</v>
      </c>
      <c r="D27" s="95">
        <v>9500</v>
      </c>
      <c r="E27" s="94"/>
      <c r="F27" s="94" t="s">
        <v>1125</v>
      </c>
    </row>
    <row r="28" spans="1:6" x14ac:dyDescent="0.35">
      <c r="A28" s="99" t="s">
        <v>1126</v>
      </c>
      <c r="B28" s="100">
        <f>B26+B27</f>
        <v>39500</v>
      </c>
      <c r="C28" s="100">
        <f>C26+C27</f>
        <v>69500</v>
      </c>
      <c r="D28" s="100">
        <f>D26+D27</f>
        <v>117500</v>
      </c>
      <c r="E28" s="99"/>
      <c r="F28" s="99" t="s">
        <v>798</v>
      </c>
    </row>
    <row r="29" spans="1:6" x14ac:dyDescent="0.35">
      <c r="A29" s="94" t="s">
        <v>1127</v>
      </c>
      <c r="B29" s="97">
        <f>($B$10+($B25-1)*$B$11)*$B$8</f>
        <v>9565.217391304348</v>
      </c>
      <c r="C29" s="97">
        <f>($B$10+($C25-1)*$B$11)*$B$8</f>
        <v>19130.434782608696</v>
      </c>
      <c r="D29" s="97">
        <f>($B$10+($D25-1)*$B$11)*$B$8</f>
        <v>33478.260869565216</v>
      </c>
      <c r="E29" s="94"/>
      <c r="F29" s="94" t="s">
        <v>1128</v>
      </c>
    </row>
    <row r="30" spans="1:6" x14ac:dyDescent="0.35">
      <c r="A30" s="94" t="s">
        <v>1129</v>
      </c>
      <c r="B30" s="97">
        <f>$B$15</f>
        <v>5000</v>
      </c>
      <c r="C30" s="97">
        <f>$B$15</f>
        <v>5000</v>
      </c>
      <c r="D30" s="97">
        <f>$B$15</f>
        <v>5000</v>
      </c>
      <c r="E30" s="94"/>
      <c r="F30" s="94" t="s">
        <v>1130</v>
      </c>
    </row>
    <row r="31" spans="1:6" x14ac:dyDescent="0.35">
      <c r="A31" s="94" t="s">
        <v>1131</v>
      </c>
      <c r="B31" s="97">
        <f>B25*$B$12*$B$9</f>
        <v>2869.565217391304</v>
      </c>
      <c r="C31" s="97">
        <f>C25*$B$12*$B$9</f>
        <v>8608.6956521739121</v>
      </c>
      <c r="D31" s="97">
        <f>D25*$B$12*$B$9</f>
        <v>17217.391304347824</v>
      </c>
      <c r="E31" s="94"/>
      <c r="F31" s="94" t="s">
        <v>1132</v>
      </c>
    </row>
    <row r="32" spans="1:6" x14ac:dyDescent="0.35">
      <c r="A32" s="94" t="s">
        <v>1133</v>
      </c>
      <c r="B32" s="97">
        <f>(B23*$B$18+B24*$B$19)*$B$16</f>
        <v>1800</v>
      </c>
      <c r="C32" s="97">
        <f>(C23*$B$18+C24*$B$19)*$B$16</f>
        <v>4400</v>
      </c>
      <c r="D32" s="97">
        <f>(D23*$B$18+D24*$B$19)*$B$16</f>
        <v>8800</v>
      </c>
      <c r="E32" s="94"/>
      <c r="F32" s="94" t="s">
        <v>1134</v>
      </c>
    </row>
    <row r="33" spans="1:6" x14ac:dyDescent="0.35">
      <c r="A33" s="94" t="s">
        <v>1135</v>
      </c>
      <c r="B33" s="97">
        <f>$B$17</f>
        <v>2400</v>
      </c>
      <c r="C33" s="97">
        <f>$B$17</f>
        <v>2400</v>
      </c>
      <c r="D33" s="97">
        <f>$B$17</f>
        <v>2400</v>
      </c>
      <c r="E33" s="94"/>
      <c r="F33" s="94" t="s">
        <v>1136</v>
      </c>
    </row>
    <row r="34" spans="1:6" x14ac:dyDescent="0.35">
      <c r="A34" s="99" t="s">
        <v>1137</v>
      </c>
      <c r="B34" s="100">
        <f>SUM(B29:B33)</f>
        <v>21634.782608695652</v>
      </c>
      <c r="C34" s="100">
        <f>SUM(C29:C33)</f>
        <v>39539.130434782608</v>
      </c>
      <c r="D34" s="100">
        <f>SUM(D29:D33)</f>
        <v>66895.65217391304</v>
      </c>
      <c r="E34" s="99"/>
      <c r="F34" s="99" t="s">
        <v>798</v>
      </c>
    </row>
    <row r="35" spans="1:6" x14ac:dyDescent="0.35">
      <c r="A35" s="101" t="s">
        <v>1138</v>
      </c>
      <c r="B35" s="102">
        <f>B28-B34</f>
        <v>17865.217391304348</v>
      </c>
      <c r="C35" s="102">
        <f>C28-C34</f>
        <v>29960.869565217392</v>
      </c>
      <c r="D35" s="102">
        <f>D28-D34</f>
        <v>50604.34782608696</v>
      </c>
      <c r="E35" s="101"/>
      <c r="F35" s="101"/>
    </row>
    <row r="36" spans="1:6" x14ac:dyDescent="0.35">
      <c r="A36" s="101" t="s">
        <v>1139</v>
      </c>
      <c r="B36" s="103">
        <f>IFERROR(B35/B28,0)</f>
        <v>0.45228398458998348</v>
      </c>
      <c r="C36" s="103">
        <f>IFERROR(C35/C28,0)</f>
        <v>0.4310916484203941</v>
      </c>
      <c r="D36" s="103">
        <f>IFERROR(D35/D28,0)</f>
        <v>0.43067530064754861</v>
      </c>
      <c r="E36" s="101"/>
      <c r="F36" s="101"/>
    </row>
    <row r="37" spans="1:6" x14ac:dyDescent="0.35">
      <c r="A37" s="94" t="s">
        <v>1140</v>
      </c>
      <c r="B37" s="97">
        <f>B30+B31+B32+B33</f>
        <v>12069.565217391304</v>
      </c>
      <c r="C37" s="97">
        <f>C30+C31+C32+C33</f>
        <v>20408.695652173912</v>
      </c>
      <c r="D37" s="97">
        <f>D30+D31+D32+D33</f>
        <v>33417.391304347824</v>
      </c>
      <c r="E37" s="94"/>
      <c r="F37" s="94" t="s">
        <v>1141</v>
      </c>
    </row>
    <row r="38" spans="1:6" x14ac:dyDescent="0.35">
      <c r="A38" s="101" t="s">
        <v>1142</v>
      </c>
      <c r="B38" s="102">
        <f>B26-B37</f>
        <v>17930.434782608696</v>
      </c>
      <c r="C38" s="102">
        <f>C26-C37</f>
        <v>39591.304347826088</v>
      </c>
      <c r="D38" s="102">
        <f>D26-D37</f>
        <v>74582.608695652176</v>
      </c>
      <c r="E38" s="101"/>
      <c r="F38" s="101"/>
    </row>
    <row r="39" spans="1:6" ht="23" customHeight="1" x14ac:dyDescent="0.35">
      <c r="A39" s="101" t="s">
        <v>1143</v>
      </c>
      <c r="B39" s="103">
        <f>IFERROR(B38/B26,0)</f>
        <v>0.59768115942028988</v>
      </c>
      <c r="C39" s="103">
        <f>IFERROR(C38/C26,0)</f>
        <v>0.65985507246376818</v>
      </c>
      <c r="D39" s="103">
        <f>IFERROR(D38/D26,0)</f>
        <v>0.69057971014492758</v>
      </c>
      <c r="E39" s="101"/>
      <c r="F39" s="101" t="s">
        <v>1144</v>
      </c>
    </row>
    <row r="41" spans="1:6" ht="20" customHeight="1" x14ac:dyDescent="0.35">
      <c r="A41" s="91" t="s">
        <v>1145</v>
      </c>
      <c r="B41" s="92"/>
      <c r="C41" s="92"/>
      <c r="D41" s="92"/>
      <c r="E41" s="92"/>
      <c r="F41" s="92"/>
    </row>
    <row r="42" spans="1:6" ht="24" customHeight="1" x14ac:dyDescent="0.35">
      <c r="A42" s="93" t="s">
        <v>1146</v>
      </c>
      <c r="B42" s="93" t="s">
        <v>611</v>
      </c>
      <c r="C42" s="93"/>
      <c r="D42" s="93"/>
      <c r="E42" s="93"/>
      <c r="F42" s="93" t="s">
        <v>1147</v>
      </c>
    </row>
    <row r="43" spans="1:6" x14ac:dyDescent="0.35">
      <c r="A43" s="94" t="s">
        <v>1148</v>
      </c>
      <c r="B43" s="95">
        <v>9500</v>
      </c>
      <c r="C43" s="94"/>
      <c r="D43" s="94"/>
      <c r="E43" s="94"/>
      <c r="F43" s="94" t="s">
        <v>1149</v>
      </c>
    </row>
    <row r="44" spans="1:6" x14ac:dyDescent="0.35">
      <c r="A44" s="94" t="s">
        <v>1150</v>
      </c>
      <c r="B44" s="97">
        <f>B10*B8</f>
        <v>9565.217391304348</v>
      </c>
      <c r="C44" s="94"/>
      <c r="D44" s="94"/>
      <c r="E44" s="94"/>
      <c r="F44" s="94" t="s">
        <v>1151</v>
      </c>
    </row>
    <row r="45" spans="1:6" ht="23" customHeight="1" x14ac:dyDescent="0.35">
      <c r="A45" s="104" t="s">
        <v>1152</v>
      </c>
      <c r="B45" s="105">
        <f>B43-B44</f>
        <v>-65.217391304347984</v>
      </c>
      <c r="C45" s="104"/>
      <c r="D45" s="104"/>
      <c r="E45" s="104"/>
      <c r="F45" s="104" t="s">
        <v>1153</v>
      </c>
    </row>
    <row r="46" spans="1:6" ht="34.5" customHeight="1" x14ac:dyDescent="0.35">
      <c r="A46" s="104" t="s">
        <v>1154</v>
      </c>
      <c r="B46" s="105">
        <f>B11*B8</f>
        <v>4782.608695652174</v>
      </c>
      <c r="C46" s="104"/>
      <c r="D46" s="104"/>
      <c r="E46" s="104"/>
      <c r="F46" s="104" t="s">
        <v>1155</v>
      </c>
    </row>
    <row r="48" spans="1:6" ht="20" customHeight="1" x14ac:dyDescent="0.35">
      <c r="A48" s="91" t="s">
        <v>1156</v>
      </c>
      <c r="B48" s="92"/>
      <c r="C48" s="92"/>
      <c r="D48" s="92"/>
      <c r="E48" s="92"/>
      <c r="F48" s="92"/>
    </row>
    <row r="49" spans="1:6" ht="24" customHeight="1" x14ac:dyDescent="0.35">
      <c r="A49" s="93" t="s">
        <v>653</v>
      </c>
      <c r="B49" s="93" t="s">
        <v>611</v>
      </c>
      <c r="C49" s="93"/>
      <c r="D49" s="93"/>
      <c r="E49" s="93"/>
      <c r="F49" s="93" t="s">
        <v>730</v>
      </c>
    </row>
    <row r="50" spans="1:6" x14ac:dyDescent="0.35">
      <c r="A50" s="94" t="s">
        <v>1157</v>
      </c>
      <c r="B50" s="106">
        <f>B7/B10</f>
        <v>11.5</v>
      </c>
      <c r="C50" s="94"/>
      <c r="D50" s="94"/>
      <c r="E50" s="94"/>
      <c r="F50" s="94" t="s">
        <v>1158</v>
      </c>
    </row>
    <row r="51" spans="1:6" x14ac:dyDescent="0.35">
      <c r="A51" s="94" t="s">
        <v>1159</v>
      </c>
      <c r="B51" s="106">
        <f>B7*5/B12</f>
        <v>38.333333333333336</v>
      </c>
      <c r="C51" s="94"/>
      <c r="D51" s="94"/>
      <c r="E51" s="94"/>
      <c r="F51" s="94" t="s">
        <v>1160</v>
      </c>
    </row>
    <row r="52" spans="1:6" x14ac:dyDescent="0.35">
      <c r="A52" s="94" t="s">
        <v>1161</v>
      </c>
      <c r="B52" s="96">
        <v>25</v>
      </c>
      <c r="C52" s="94"/>
      <c r="D52" s="94"/>
      <c r="E52" s="94"/>
      <c r="F52" s="94" t="s">
        <v>1162</v>
      </c>
    </row>
    <row r="53" spans="1:6" x14ac:dyDescent="0.35">
      <c r="A53" s="94" t="s">
        <v>1163</v>
      </c>
      <c r="B53" s="107">
        <v>2.5</v>
      </c>
      <c r="C53" s="94"/>
      <c r="D53" s="94"/>
      <c r="E53" s="94"/>
      <c r="F53" s="94" t="s">
        <v>1164</v>
      </c>
    </row>
    <row r="54" spans="1:6" x14ac:dyDescent="0.35">
      <c r="A54" s="94" t="s">
        <v>1165</v>
      </c>
      <c r="B54" s="106">
        <f>B52/B53</f>
        <v>10</v>
      </c>
      <c r="C54" s="94"/>
      <c r="D54" s="94"/>
      <c r="E54" s="94"/>
      <c r="F54" s="94" t="s">
        <v>798</v>
      </c>
    </row>
    <row r="55" spans="1:6" ht="23" customHeight="1" x14ac:dyDescent="0.35">
      <c r="A55" s="104" t="s">
        <v>1166</v>
      </c>
      <c r="B55" s="104">
        <f>ROUNDUP(B74/B54,0)</f>
        <v>7</v>
      </c>
      <c r="C55" s="104"/>
      <c r="D55" s="104"/>
      <c r="E55" s="104"/>
      <c r="F55" s="104" t="s">
        <v>1167</v>
      </c>
    </row>
    <row r="57" spans="1:6" ht="20" customHeight="1" x14ac:dyDescent="0.35">
      <c r="A57" s="91" t="s">
        <v>1168</v>
      </c>
      <c r="B57" s="92"/>
      <c r="C57" s="92"/>
      <c r="D57" s="92"/>
      <c r="E57" s="92"/>
      <c r="F57" s="92"/>
    </row>
    <row r="58" spans="1:6" ht="24" customHeight="1" x14ac:dyDescent="0.35">
      <c r="A58" s="93" t="s">
        <v>653</v>
      </c>
      <c r="B58" s="93" t="s">
        <v>611</v>
      </c>
      <c r="C58" s="93"/>
      <c r="D58" s="93"/>
      <c r="E58" s="93"/>
      <c r="F58" s="93" t="s">
        <v>388</v>
      </c>
    </row>
    <row r="59" spans="1:6" x14ac:dyDescent="0.35">
      <c r="A59" s="94" t="s">
        <v>1169</v>
      </c>
      <c r="B59" s="95">
        <v>220000</v>
      </c>
      <c r="C59" s="94"/>
      <c r="D59" s="94"/>
      <c r="E59" s="94"/>
      <c r="F59" s="94" t="s">
        <v>1170</v>
      </c>
    </row>
    <row r="60" spans="1:6" x14ac:dyDescent="0.35">
      <c r="A60" s="94" t="s">
        <v>1171</v>
      </c>
      <c r="B60" s="96">
        <v>18</v>
      </c>
      <c r="C60" s="94"/>
      <c r="D60" s="94"/>
      <c r="E60" s="94"/>
      <c r="F60" s="94" t="s">
        <v>1172</v>
      </c>
    </row>
    <row r="61" spans="1:6" x14ac:dyDescent="0.35">
      <c r="A61" s="99" t="s">
        <v>1173</v>
      </c>
      <c r="B61" s="100">
        <f>B59/B60</f>
        <v>12222.222222222223</v>
      </c>
      <c r="C61" s="99"/>
      <c r="D61" s="99"/>
      <c r="E61" s="99"/>
      <c r="F61" s="99" t="s">
        <v>798</v>
      </c>
    </row>
    <row r="62" spans="1:6" x14ac:dyDescent="0.35">
      <c r="A62" s="94" t="s">
        <v>1174</v>
      </c>
      <c r="B62" s="97">
        <f>0.6*B38+0.3*C38+0.1*D38</f>
        <v>30093.913043478264</v>
      </c>
      <c r="C62" s="94"/>
      <c r="D62" s="94"/>
      <c r="E62" s="94"/>
      <c r="F62" s="94" t="s">
        <v>1175</v>
      </c>
    </row>
    <row r="63" spans="1:6" ht="23" customHeight="1" x14ac:dyDescent="0.35">
      <c r="A63" s="94" t="s">
        <v>1176</v>
      </c>
      <c r="B63" s="96">
        <v>4</v>
      </c>
      <c r="C63" s="94"/>
      <c r="D63" s="94"/>
      <c r="E63" s="94"/>
      <c r="F63" s="94" t="s">
        <v>1177</v>
      </c>
    </row>
    <row r="64" spans="1:6" x14ac:dyDescent="0.35">
      <c r="A64" s="99" t="s">
        <v>1178</v>
      </c>
      <c r="B64" s="100">
        <f>B62*B63</f>
        <v>120375.65217391305</v>
      </c>
      <c r="C64" s="99"/>
      <c r="D64" s="99"/>
      <c r="E64" s="99"/>
      <c r="F64" s="99" t="s">
        <v>798</v>
      </c>
    </row>
    <row r="65" spans="1:6" x14ac:dyDescent="0.35">
      <c r="A65" s="101" t="s">
        <v>1179</v>
      </c>
      <c r="B65" s="108">
        <f>IFERROR(B64/B61,0)</f>
        <v>9.8489169960474321</v>
      </c>
      <c r="C65" s="101"/>
      <c r="D65" s="101"/>
      <c r="E65" s="101"/>
      <c r="F65" s="101" t="s">
        <v>1180</v>
      </c>
    </row>
    <row r="66" spans="1:6" x14ac:dyDescent="0.35">
      <c r="A66" s="109" t="s">
        <v>1181</v>
      </c>
      <c r="B66" s="110">
        <f>IFERROR(B61/(B62/12),0)</f>
        <v>4.8736323008167668</v>
      </c>
      <c r="C66" s="109"/>
      <c r="D66" s="109"/>
      <c r="E66" s="109"/>
      <c r="F66" s="109" t="s">
        <v>798</v>
      </c>
    </row>
    <row r="68" spans="1:6" ht="20" customHeight="1" x14ac:dyDescent="0.35">
      <c r="A68" s="91" t="s">
        <v>1182</v>
      </c>
      <c r="B68" s="92"/>
      <c r="C68" s="92"/>
      <c r="D68" s="92"/>
      <c r="E68" s="92"/>
      <c r="F68" s="92"/>
    </row>
    <row r="69" spans="1:6" ht="24" customHeight="1" x14ac:dyDescent="0.35">
      <c r="A69" s="93" t="s">
        <v>653</v>
      </c>
      <c r="B69" s="93" t="s">
        <v>611</v>
      </c>
      <c r="C69" s="93"/>
      <c r="D69" s="93"/>
      <c r="E69" s="93"/>
      <c r="F69" s="93" t="s">
        <v>388</v>
      </c>
    </row>
    <row r="70" spans="1:6" x14ac:dyDescent="0.35">
      <c r="A70" s="94" t="s">
        <v>1183</v>
      </c>
      <c r="B70" s="96">
        <v>14</v>
      </c>
      <c r="C70" s="94"/>
      <c r="D70" s="94"/>
      <c r="E70" s="94"/>
      <c r="F70" s="94" t="s">
        <v>1184</v>
      </c>
    </row>
    <row r="71" spans="1:6" x14ac:dyDescent="0.35">
      <c r="A71" s="94" t="s">
        <v>1185</v>
      </c>
      <c r="B71" s="95">
        <v>115000</v>
      </c>
      <c r="C71" s="94"/>
      <c r="D71" s="94"/>
      <c r="E71" s="94"/>
      <c r="F71" s="94" t="s">
        <v>1186</v>
      </c>
    </row>
    <row r="72" spans="1:6" x14ac:dyDescent="0.35">
      <c r="A72" s="94" t="s">
        <v>1187</v>
      </c>
      <c r="B72" s="95">
        <v>280000</v>
      </c>
      <c r="C72" s="94"/>
      <c r="D72" s="94"/>
      <c r="E72" s="94"/>
      <c r="F72" s="94" t="s">
        <v>1188</v>
      </c>
    </row>
    <row r="73" spans="1:6" x14ac:dyDescent="0.35">
      <c r="A73" s="99" t="s">
        <v>1189</v>
      </c>
      <c r="B73" s="100">
        <f>B70*B71+B72</f>
        <v>1890000</v>
      </c>
      <c r="C73" s="99"/>
      <c r="D73" s="99"/>
      <c r="E73" s="99"/>
      <c r="F73" s="99" t="s">
        <v>798</v>
      </c>
    </row>
    <row r="74" spans="1:6" x14ac:dyDescent="0.35">
      <c r="A74" s="111" t="s">
        <v>1190</v>
      </c>
      <c r="B74" s="111">
        <f>ROUNDUP(B73/B62,0)</f>
        <v>63</v>
      </c>
      <c r="C74" s="111"/>
      <c r="D74" s="111"/>
      <c r="E74" s="111"/>
      <c r="F74" s="111" t="s">
        <v>1191</v>
      </c>
    </row>
    <row r="75" spans="1:6" ht="23" customHeight="1" x14ac:dyDescent="0.35">
      <c r="A75" s="104" t="s">
        <v>1192</v>
      </c>
      <c r="B75" s="112">
        <f>IFERROR(B74/'Market sizing'!B51,0)</f>
        <v>0.29605263157894735</v>
      </c>
      <c r="C75" s="104"/>
      <c r="D75" s="104"/>
      <c r="E75" s="104"/>
      <c r="F75" s="104" t="s">
        <v>1193</v>
      </c>
    </row>
    <row r="76" spans="1:6" ht="23" customHeight="1" x14ac:dyDescent="0.35">
      <c r="A76" s="104" t="s">
        <v>1194</v>
      </c>
      <c r="B76" s="105">
        <f>B73-26*B62</f>
        <v>1107558.2608695652</v>
      </c>
      <c r="C76" s="104"/>
      <c r="D76" s="104"/>
      <c r="E76" s="104"/>
      <c r="F76" s="104" t="s">
        <v>1195</v>
      </c>
    </row>
    <row r="78" spans="1:6" ht="20" customHeight="1" x14ac:dyDescent="0.35">
      <c r="A78" s="91" t="s">
        <v>1196</v>
      </c>
      <c r="B78" s="92"/>
      <c r="C78" s="92"/>
      <c r="D78" s="92"/>
      <c r="E78" s="92"/>
      <c r="F78" s="92"/>
    </row>
    <row r="79" spans="1:6" ht="40" customHeight="1" x14ac:dyDescent="0.35">
      <c r="A79" s="132" t="s">
        <v>1197</v>
      </c>
      <c r="B79" s="127"/>
      <c r="C79" s="127"/>
      <c r="D79" s="127"/>
      <c r="E79" s="127"/>
      <c r="F79" s="128"/>
    </row>
    <row r="80" spans="1:6" ht="40" customHeight="1" x14ac:dyDescent="0.35">
      <c r="A80" s="130" t="s">
        <v>1198</v>
      </c>
      <c r="B80" s="127"/>
      <c r="C80" s="127"/>
      <c r="D80" s="127"/>
      <c r="E80" s="127"/>
      <c r="F80" s="128"/>
    </row>
    <row r="81" spans="1:6" ht="40" customHeight="1" x14ac:dyDescent="0.35">
      <c r="A81" s="132" t="s">
        <v>1199</v>
      </c>
      <c r="B81" s="127"/>
      <c r="C81" s="127"/>
      <c r="D81" s="127"/>
      <c r="E81" s="127"/>
      <c r="F81" s="128"/>
    </row>
    <row r="82" spans="1:6" ht="40" customHeight="1" x14ac:dyDescent="0.35">
      <c r="A82" s="130" t="s">
        <v>1200</v>
      </c>
      <c r="B82" s="127"/>
      <c r="C82" s="127"/>
      <c r="D82" s="127"/>
      <c r="E82" s="127"/>
      <c r="F82" s="128"/>
    </row>
    <row r="83" spans="1:6" ht="40" customHeight="1" x14ac:dyDescent="0.35">
      <c r="A83" s="130" t="s">
        <v>1201</v>
      </c>
      <c r="B83" s="127"/>
      <c r="C83" s="127"/>
      <c r="D83" s="127"/>
      <c r="E83" s="127"/>
      <c r="F83" s="128"/>
    </row>
    <row r="84" spans="1:6" ht="20" customHeight="1" x14ac:dyDescent="0.35">
      <c r="A84" s="91" t="s">
        <v>1202</v>
      </c>
      <c r="B84" s="92"/>
      <c r="C84" s="92"/>
      <c r="D84" s="92"/>
      <c r="E84" s="92"/>
      <c r="F84" s="92"/>
    </row>
    <row r="85" spans="1:6" ht="40" customHeight="1" x14ac:dyDescent="0.35">
      <c r="A85" s="131" t="s">
        <v>1203</v>
      </c>
      <c r="B85" s="127"/>
      <c r="C85" s="127"/>
      <c r="D85" s="127"/>
      <c r="E85" s="127"/>
      <c r="F85" s="128"/>
    </row>
  </sheetData>
  <mergeCells count="6">
    <mergeCell ref="A82:F82"/>
    <mergeCell ref="A85:F85"/>
    <mergeCell ref="A80:F80"/>
    <mergeCell ref="A79:F79"/>
    <mergeCell ref="A83:F83"/>
    <mergeCell ref="A81:F8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4"/>
  <sheetViews>
    <sheetView showGridLines="0" workbookViewId="0"/>
  </sheetViews>
  <sheetFormatPr defaultRowHeight="14.5" x14ac:dyDescent="0.35"/>
  <cols>
    <col min="1" max="1" width="20" customWidth="1"/>
    <col min="2" max="2" width="30" customWidth="1"/>
    <col min="3" max="3" width="26" customWidth="1"/>
    <col min="4" max="4" width="32" customWidth="1"/>
    <col min="5" max="5" width="36" customWidth="1"/>
    <col min="6" max="6" width="13" customWidth="1"/>
    <col min="7" max="7" width="40" customWidth="1"/>
  </cols>
  <sheetData>
    <row r="1" spans="1:7" ht="22" customHeight="1" x14ac:dyDescent="0.4">
      <c r="A1" s="116" t="s">
        <v>1204</v>
      </c>
    </row>
    <row r="2" spans="1:7" x14ac:dyDescent="0.35">
      <c r="A2" s="117" t="s">
        <v>1205</v>
      </c>
    </row>
    <row r="4" spans="1:7" ht="36" customHeight="1" x14ac:dyDescent="0.35">
      <c r="A4" s="118" t="s">
        <v>1206</v>
      </c>
      <c r="B4" s="118" t="s">
        <v>1207</v>
      </c>
      <c r="C4" s="118" t="s">
        <v>1208</v>
      </c>
      <c r="D4" s="118" t="s">
        <v>1209</v>
      </c>
      <c r="E4" s="118" t="s">
        <v>1210</v>
      </c>
      <c r="F4" s="118" t="s">
        <v>1211</v>
      </c>
      <c r="G4" s="118" t="s">
        <v>1212</v>
      </c>
    </row>
    <row r="5" spans="1:7" ht="80.5" x14ac:dyDescent="0.35">
      <c r="A5" s="113" t="s">
        <v>1213</v>
      </c>
      <c r="B5" s="114" t="s">
        <v>1214</v>
      </c>
      <c r="C5" s="114" t="s">
        <v>1215</v>
      </c>
      <c r="D5" s="114" t="s">
        <v>1216</v>
      </c>
      <c r="E5" s="114" t="s">
        <v>1217</v>
      </c>
      <c r="F5" s="115" t="s">
        <v>473</v>
      </c>
      <c r="G5" s="114" t="s">
        <v>1218</v>
      </c>
    </row>
    <row r="6" spans="1:7" ht="80.5" x14ac:dyDescent="0.35">
      <c r="A6" s="113" t="s">
        <v>1219</v>
      </c>
      <c r="B6" s="114" t="s">
        <v>1220</v>
      </c>
      <c r="C6" s="114" t="s">
        <v>1221</v>
      </c>
      <c r="D6" s="114" t="s">
        <v>1222</v>
      </c>
      <c r="E6" s="114" t="s">
        <v>1223</v>
      </c>
      <c r="F6" s="119" t="s">
        <v>1224</v>
      </c>
      <c r="G6" s="114" t="s">
        <v>1225</v>
      </c>
    </row>
    <row r="7" spans="1:7" ht="57.5" x14ac:dyDescent="0.35">
      <c r="A7" s="113" t="s">
        <v>1226</v>
      </c>
      <c r="B7" s="114" t="s">
        <v>1227</v>
      </c>
      <c r="C7" s="114" t="s">
        <v>1228</v>
      </c>
      <c r="D7" s="114" t="s">
        <v>1229</v>
      </c>
      <c r="E7" s="114" t="s">
        <v>1230</v>
      </c>
      <c r="F7" s="120" t="s">
        <v>491</v>
      </c>
      <c r="G7" s="114" t="s">
        <v>1231</v>
      </c>
    </row>
    <row r="8" spans="1:7" ht="69" x14ac:dyDescent="0.35">
      <c r="A8" s="113" t="s">
        <v>1232</v>
      </c>
      <c r="B8" s="114" t="s">
        <v>1233</v>
      </c>
      <c r="C8" s="114" t="s">
        <v>1234</v>
      </c>
      <c r="D8" s="114" t="s">
        <v>1235</v>
      </c>
      <c r="E8" s="114" t="s">
        <v>1236</v>
      </c>
      <c r="F8" s="121" t="s">
        <v>482</v>
      </c>
      <c r="G8" s="114" t="s">
        <v>1237</v>
      </c>
    </row>
    <row r="9" spans="1:7" ht="92" x14ac:dyDescent="0.35">
      <c r="A9" s="113" t="s">
        <v>1238</v>
      </c>
      <c r="B9" s="114" t="s">
        <v>1239</v>
      </c>
      <c r="C9" s="114" t="s">
        <v>1240</v>
      </c>
      <c r="D9" s="114" t="s">
        <v>1241</v>
      </c>
      <c r="E9" s="114" t="s">
        <v>1242</v>
      </c>
      <c r="F9" s="119" t="s">
        <v>1224</v>
      </c>
      <c r="G9" s="114" t="s">
        <v>1243</v>
      </c>
    </row>
    <row r="11" spans="1:7" x14ac:dyDescent="0.35">
      <c r="A11" s="122" t="s">
        <v>1244</v>
      </c>
      <c r="B11" s="123"/>
      <c r="C11" s="123"/>
      <c r="D11" s="123"/>
      <c r="E11" s="123"/>
      <c r="F11" s="123"/>
      <c r="G11" s="123"/>
    </row>
    <row r="12" spans="1:7" ht="40" customHeight="1" x14ac:dyDescent="0.35">
      <c r="A12" s="135" t="s">
        <v>1245</v>
      </c>
      <c r="B12" s="136"/>
      <c r="C12" s="136"/>
      <c r="D12" s="136"/>
      <c r="E12" s="136"/>
      <c r="F12" s="136"/>
      <c r="G12" s="136"/>
    </row>
    <row r="13" spans="1:7" ht="40" customHeight="1" x14ac:dyDescent="0.35">
      <c r="A13" s="133" t="s">
        <v>1246</v>
      </c>
      <c r="B13" s="134"/>
      <c r="C13" s="134"/>
      <c r="D13" s="134"/>
      <c r="E13" s="134"/>
      <c r="F13" s="134"/>
      <c r="G13" s="134"/>
    </row>
    <row r="14" spans="1:7" ht="40" customHeight="1" x14ac:dyDescent="0.35">
      <c r="A14" s="133" t="s">
        <v>1247</v>
      </c>
      <c r="B14" s="134"/>
      <c r="C14" s="134"/>
      <c r="D14" s="134"/>
      <c r="E14" s="134"/>
      <c r="F14" s="134"/>
      <c r="G14" s="134"/>
    </row>
  </sheetData>
  <mergeCells count="3">
    <mergeCell ref="A13:G13"/>
    <mergeCell ref="A14:G14"/>
    <mergeCell ref="A12:G1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2"/>
  <sheetViews>
    <sheetView showGridLines="0" zoomScaleNormal="100" workbookViewId="0">
      <pane ySplit="4" topLeftCell="A5" activePane="bottomLeft" state="frozen"/>
      <selection pane="bottomLeft"/>
    </sheetView>
  </sheetViews>
  <sheetFormatPr defaultColWidth="8.453125" defaultRowHeight="14.5" x14ac:dyDescent="0.35"/>
  <cols>
    <col min="1" max="1" width="34" customWidth="1"/>
    <col min="2" max="2" width="62" customWidth="1"/>
    <col min="3" max="3" width="74" customWidth="1"/>
  </cols>
  <sheetData>
    <row r="1" spans="1:3" ht="21.75" customHeight="1" x14ac:dyDescent="0.4">
      <c r="A1" s="1" t="s">
        <v>1248</v>
      </c>
    </row>
    <row r="2" spans="1:3" ht="15" customHeight="1" x14ac:dyDescent="0.35">
      <c r="A2" s="2" t="s">
        <v>1249</v>
      </c>
    </row>
    <row r="4" spans="1:3" ht="19.5" customHeight="1" x14ac:dyDescent="0.35">
      <c r="A4" s="8" t="s">
        <v>1250</v>
      </c>
      <c r="B4" s="8" t="s">
        <v>765</v>
      </c>
      <c r="C4" s="8" t="s">
        <v>1251</v>
      </c>
    </row>
    <row r="5" spans="1:3" ht="15" customHeight="1" x14ac:dyDescent="0.35">
      <c r="A5" s="38" t="s">
        <v>1252</v>
      </c>
      <c r="B5" s="38" t="s">
        <v>1253</v>
      </c>
      <c r="C5" s="79" t="s">
        <v>1254</v>
      </c>
    </row>
    <row r="6" spans="1:3" ht="15" customHeight="1" x14ac:dyDescent="0.35">
      <c r="A6" s="38" t="s">
        <v>1255</v>
      </c>
      <c r="B6" s="38" t="s">
        <v>1256</v>
      </c>
      <c r="C6" s="79" t="s">
        <v>1257</v>
      </c>
    </row>
    <row r="7" spans="1:3" ht="15" customHeight="1" x14ac:dyDescent="0.35">
      <c r="A7" s="38" t="s">
        <v>1258</v>
      </c>
      <c r="B7" s="38" t="s">
        <v>1259</v>
      </c>
      <c r="C7" s="79" t="s">
        <v>1260</v>
      </c>
    </row>
    <row r="8" spans="1:3" ht="15" customHeight="1" x14ac:dyDescent="0.35">
      <c r="A8" s="38" t="s">
        <v>1261</v>
      </c>
      <c r="B8" s="38" t="s">
        <v>1262</v>
      </c>
      <c r="C8" s="79" t="s">
        <v>1263</v>
      </c>
    </row>
    <row r="9" spans="1:3" ht="15" customHeight="1" x14ac:dyDescent="0.35">
      <c r="A9" s="38" t="s">
        <v>1264</v>
      </c>
      <c r="B9" s="38" t="s">
        <v>1265</v>
      </c>
      <c r="C9" s="79" t="s">
        <v>1266</v>
      </c>
    </row>
    <row r="10" spans="1:3" ht="15" customHeight="1" x14ac:dyDescent="0.35">
      <c r="A10" s="38" t="s">
        <v>1267</v>
      </c>
      <c r="B10" s="38" t="s">
        <v>1268</v>
      </c>
      <c r="C10" s="79" t="s">
        <v>1269</v>
      </c>
    </row>
    <row r="11" spans="1:3" ht="15" customHeight="1" x14ac:dyDescent="0.35">
      <c r="A11" s="38" t="s">
        <v>1270</v>
      </c>
      <c r="B11" s="38" t="s">
        <v>1271</v>
      </c>
      <c r="C11" s="79" t="s">
        <v>1272</v>
      </c>
    </row>
    <row r="12" spans="1:3" ht="15" customHeight="1" x14ac:dyDescent="0.35">
      <c r="A12" s="38" t="s">
        <v>1273</v>
      </c>
      <c r="B12" s="38" t="s">
        <v>1274</v>
      </c>
      <c r="C12" s="79" t="s">
        <v>1275</v>
      </c>
    </row>
    <row r="13" spans="1:3" ht="21.75" customHeight="1" x14ac:dyDescent="0.35">
      <c r="A13" s="38" t="s">
        <v>1276</v>
      </c>
      <c r="B13" s="38" t="s">
        <v>1277</v>
      </c>
      <c r="C13" s="79" t="s">
        <v>1278</v>
      </c>
    </row>
    <row r="14" spans="1:3" ht="15" customHeight="1" x14ac:dyDescent="0.35">
      <c r="A14" s="38" t="s">
        <v>1279</v>
      </c>
      <c r="B14" s="38" t="s">
        <v>1280</v>
      </c>
      <c r="C14" s="79" t="s">
        <v>1281</v>
      </c>
    </row>
    <row r="15" spans="1:3" ht="21.75" customHeight="1" x14ac:dyDescent="0.35">
      <c r="A15" s="38" t="s">
        <v>1282</v>
      </c>
      <c r="B15" s="38" t="s">
        <v>1283</v>
      </c>
      <c r="C15" s="79" t="s">
        <v>1284</v>
      </c>
    </row>
    <row r="16" spans="1:3" ht="15" customHeight="1" x14ac:dyDescent="0.35">
      <c r="A16" s="38" t="s">
        <v>1285</v>
      </c>
      <c r="B16" s="38" t="s">
        <v>1286</v>
      </c>
      <c r="C16" s="79" t="s">
        <v>1287</v>
      </c>
    </row>
    <row r="17" spans="1:3" ht="15" customHeight="1" x14ac:dyDescent="0.35">
      <c r="A17" s="38" t="s">
        <v>1288</v>
      </c>
      <c r="B17" s="38" t="s">
        <v>145</v>
      </c>
      <c r="C17" s="79" t="s">
        <v>1289</v>
      </c>
    </row>
    <row r="18" spans="1:3" ht="15" customHeight="1" x14ac:dyDescent="0.35">
      <c r="A18" s="38" t="s">
        <v>1290</v>
      </c>
      <c r="B18" s="38" t="s">
        <v>1291</v>
      </c>
      <c r="C18" s="79" t="s">
        <v>1292</v>
      </c>
    </row>
    <row r="19" spans="1:3" ht="21.75" customHeight="1" x14ac:dyDescent="0.35">
      <c r="A19" s="38" t="s">
        <v>1293</v>
      </c>
      <c r="B19" s="38" t="s">
        <v>1294</v>
      </c>
      <c r="C19" s="79" t="s">
        <v>1295</v>
      </c>
    </row>
    <row r="20" spans="1:3" ht="15" customHeight="1" x14ac:dyDescent="0.35">
      <c r="A20" s="38" t="s">
        <v>1296</v>
      </c>
      <c r="B20" s="38" t="s">
        <v>168</v>
      </c>
      <c r="C20" s="79" t="s">
        <v>1297</v>
      </c>
    </row>
    <row r="21" spans="1:3" ht="15" customHeight="1" x14ac:dyDescent="0.35">
      <c r="A21" s="38" t="s">
        <v>1298</v>
      </c>
      <c r="B21" s="38" t="s">
        <v>1299</v>
      </c>
      <c r="C21" s="79" t="s">
        <v>1300</v>
      </c>
    </row>
    <row r="22" spans="1:3" ht="15" customHeight="1" x14ac:dyDescent="0.35">
      <c r="A22" s="38" t="s">
        <v>1301</v>
      </c>
      <c r="B22" s="38" t="s">
        <v>1302</v>
      </c>
      <c r="C22" s="79" t="s">
        <v>1303</v>
      </c>
    </row>
    <row r="23" spans="1:3" ht="15" customHeight="1" x14ac:dyDescent="0.35">
      <c r="A23" s="38" t="s">
        <v>1304</v>
      </c>
      <c r="B23" s="38" t="s">
        <v>188</v>
      </c>
      <c r="C23" s="79" t="s">
        <v>1305</v>
      </c>
    </row>
    <row r="24" spans="1:3" ht="21.75" customHeight="1" x14ac:dyDescent="0.35">
      <c r="A24" s="38" t="s">
        <v>1306</v>
      </c>
      <c r="B24" s="38" t="s">
        <v>1307</v>
      </c>
      <c r="C24" s="79" t="s">
        <v>1308</v>
      </c>
    </row>
    <row r="25" spans="1:3" ht="15" customHeight="1" x14ac:dyDescent="0.35">
      <c r="A25" s="38" t="s">
        <v>1309</v>
      </c>
      <c r="B25" s="38" t="s">
        <v>1294</v>
      </c>
      <c r="C25" s="79" t="s">
        <v>1310</v>
      </c>
    </row>
    <row r="26" spans="1:3" ht="15" customHeight="1" x14ac:dyDescent="0.35">
      <c r="A26" s="38" t="s">
        <v>1311</v>
      </c>
      <c r="B26" s="38" t="s">
        <v>259</v>
      </c>
      <c r="C26" s="79" t="s">
        <v>1312</v>
      </c>
    </row>
    <row r="27" spans="1:3" ht="15" customHeight="1" x14ac:dyDescent="0.35">
      <c r="A27" s="38" t="s">
        <v>1313</v>
      </c>
      <c r="B27" s="38" t="s">
        <v>118</v>
      </c>
      <c r="C27" s="79" t="s">
        <v>1314</v>
      </c>
    </row>
    <row r="28" spans="1:3" ht="15" customHeight="1" x14ac:dyDescent="0.35">
      <c r="A28" s="38" t="s">
        <v>1315</v>
      </c>
      <c r="B28" s="38" t="s">
        <v>1316</v>
      </c>
      <c r="C28" s="79" t="s">
        <v>1317</v>
      </c>
    </row>
    <row r="29" spans="1:3" ht="15" customHeight="1" x14ac:dyDescent="0.35">
      <c r="A29" s="38" t="s">
        <v>1318</v>
      </c>
      <c r="B29" s="38" t="s">
        <v>1319</v>
      </c>
      <c r="C29" s="79" t="s">
        <v>1320</v>
      </c>
    </row>
    <row r="30" spans="1:3" ht="15" customHeight="1" x14ac:dyDescent="0.35">
      <c r="A30" s="38" t="s">
        <v>1321</v>
      </c>
      <c r="B30" s="38" t="s">
        <v>1322</v>
      </c>
      <c r="C30" s="79" t="s">
        <v>1323</v>
      </c>
    </row>
    <row r="31" spans="1:3" ht="15" customHeight="1" x14ac:dyDescent="0.35">
      <c r="A31" s="38" t="s">
        <v>1324</v>
      </c>
      <c r="B31" s="38" t="s">
        <v>1325</v>
      </c>
      <c r="C31" s="79" t="s">
        <v>1326</v>
      </c>
    </row>
    <row r="32" spans="1:3" ht="15" customHeight="1" x14ac:dyDescent="0.35">
      <c r="A32" s="38" t="s">
        <v>1327</v>
      </c>
      <c r="B32" s="38" t="s">
        <v>1328</v>
      </c>
      <c r="C32" s="79" t="s">
        <v>1329</v>
      </c>
    </row>
    <row r="33" spans="1:3" ht="21.75" customHeight="1" x14ac:dyDescent="0.35">
      <c r="A33" s="38" t="s">
        <v>1330</v>
      </c>
      <c r="B33" s="38" t="s">
        <v>1331</v>
      </c>
      <c r="C33" s="79" t="s">
        <v>1332</v>
      </c>
    </row>
    <row r="34" spans="1:3" ht="21.75" customHeight="1" x14ac:dyDescent="0.35">
      <c r="A34" s="38" t="s">
        <v>1333</v>
      </c>
      <c r="B34" s="38" t="s">
        <v>1334</v>
      </c>
      <c r="C34" s="79" t="s">
        <v>1335</v>
      </c>
    </row>
    <row r="35" spans="1:3" ht="15" customHeight="1" x14ac:dyDescent="0.35">
      <c r="A35" s="38" t="s">
        <v>1336</v>
      </c>
      <c r="B35" s="38" t="s">
        <v>1337</v>
      </c>
      <c r="C35" s="79" t="s">
        <v>1338</v>
      </c>
    </row>
    <row r="36" spans="1:3" ht="15" customHeight="1" x14ac:dyDescent="0.35">
      <c r="A36" s="38" t="s">
        <v>1339</v>
      </c>
      <c r="B36" s="38" t="s">
        <v>1340</v>
      </c>
      <c r="C36" s="79" t="s">
        <v>1341</v>
      </c>
    </row>
    <row r="37" spans="1:3" ht="15" customHeight="1" x14ac:dyDescent="0.35">
      <c r="A37" s="38" t="s">
        <v>1342</v>
      </c>
      <c r="B37" s="38" t="s">
        <v>1343</v>
      </c>
      <c r="C37" s="79" t="s">
        <v>1344</v>
      </c>
    </row>
    <row r="38" spans="1:3" ht="15" customHeight="1" x14ac:dyDescent="0.35">
      <c r="A38" s="38" t="s">
        <v>1345</v>
      </c>
      <c r="B38" s="38" t="s">
        <v>769</v>
      </c>
      <c r="C38" s="79" t="s">
        <v>1346</v>
      </c>
    </row>
    <row r="39" spans="1:3" ht="15" customHeight="1" x14ac:dyDescent="0.35">
      <c r="A39" s="38" t="s">
        <v>1347</v>
      </c>
      <c r="B39" s="38" t="s">
        <v>771</v>
      </c>
      <c r="C39" s="79" t="s">
        <v>1348</v>
      </c>
    </row>
    <row r="40" spans="1:3" ht="15" customHeight="1" x14ac:dyDescent="0.35">
      <c r="A40" s="38" t="s">
        <v>1349</v>
      </c>
      <c r="B40" s="38" t="s">
        <v>1350</v>
      </c>
      <c r="C40" s="79" t="s">
        <v>1351</v>
      </c>
    </row>
    <row r="41" spans="1:3" ht="21.75" customHeight="1" x14ac:dyDescent="0.35">
      <c r="A41" s="38" t="s">
        <v>1352</v>
      </c>
      <c r="B41" s="38" t="s">
        <v>784</v>
      </c>
      <c r="C41" s="79" t="s">
        <v>1353</v>
      </c>
    </row>
    <row r="42" spans="1:3" ht="15" customHeight="1" x14ac:dyDescent="0.35">
      <c r="A42" s="38" t="s">
        <v>1354</v>
      </c>
      <c r="B42" s="38" t="s">
        <v>1355</v>
      </c>
      <c r="C42" s="79" t="s">
        <v>1356</v>
      </c>
    </row>
    <row r="43" spans="1:3" ht="15" customHeight="1" x14ac:dyDescent="0.35">
      <c r="A43" s="38" t="s">
        <v>1357</v>
      </c>
      <c r="B43" s="38" t="s">
        <v>1358</v>
      </c>
      <c r="C43" s="79" t="s">
        <v>1359</v>
      </c>
    </row>
    <row r="44" spans="1:3" ht="21.75" customHeight="1" x14ac:dyDescent="0.35">
      <c r="A44" s="38" t="s">
        <v>1360</v>
      </c>
      <c r="B44" s="38" t="s">
        <v>1361</v>
      </c>
      <c r="C44" s="79" t="s">
        <v>1362</v>
      </c>
    </row>
    <row r="45" spans="1:3" ht="21.75" customHeight="1" x14ac:dyDescent="0.35">
      <c r="A45" s="38" t="s">
        <v>1363</v>
      </c>
      <c r="B45" s="38" t="s">
        <v>1364</v>
      </c>
      <c r="C45" s="79" t="s">
        <v>1365</v>
      </c>
    </row>
    <row r="46" spans="1:3" ht="15" customHeight="1" x14ac:dyDescent="0.35">
      <c r="A46" s="38" t="s">
        <v>1366</v>
      </c>
      <c r="B46" s="38" t="s">
        <v>341</v>
      </c>
      <c r="C46" s="79" t="s">
        <v>1367</v>
      </c>
    </row>
    <row r="47" spans="1:3" ht="15" customHeight="1" x14ac:dyDescent="0.35">
      <c r="A47" s="38" t="s">
        <v>1368</v>
      </c>
      <c r="B47" s="38" t="s">
        <v>1369</v>
      </c>
      <c r="C47" s="79" t="s">
        <v>1370</v>
      </c>
    </row>
    <row r="48" spans="1:3" ht="21.75" customHeight="1" x14ac:dyDescent="0.35">
      <c r="A48" s="38" t="s">
        <v>1371</v>
      </c>
      <c r="B48" s="38" t="s">
        <v>1372</v>
      </c>
      <c r="C48" s="79" t="s">
        <v>1373</v>
      </c>
    </row>
    <row r="49" spans="1:3" ht="21.75" customHeight="1" x14ac:dyDescent="0.35">
      <c r="A49" s="38" t="s">
        <v>1374</v>
      </c>
      <c r="B49" s="38" t="s">
        <v>1375</v>
      </c>
      <c r="C49" s="79" t="s">
        <v>1376</v>
      </c>
    </row>
    <row r="50" spans="1:3" ht="21.75" customHeight="1" x14ac:dyDescent="0.35">
      <c r="A50" s="38" t="s">
        <v>1377</v>
      </c>
      <c r="B50" s="38" t="s">
        <v>1378</v>
      </c>
      <c r="C50" s="79" t="s">
        <v>1379</v>
      </c>
    </row>
    <row r="51" spans="1:3" ht="15" customHeight="1" x14ac:dyDescent="0.35">
      <c r="A51" s="38" t="s">
        <v>1380</v>
      </c>
      <c r="B51" s="38" t="s">
        <v>1274</v>
      </c>
      <c r="C51" s="79" t="s">
        <v>1275</v>
      </c>
    </row>
    <row r="52" spans="1:3" ht="21.75" customHeight="1" x14ac:dyDescent="0.35">
      <c r="A52" s="38" t="s">
        <v>1381</v>
      </c>
      <c r="B52" s="38" t="s">
        <v>1294</v>
      </c>
      <c r="C52" s="79" t="s">
        <v>1295</v>
      </c>
    </row>
    <row r="53" spans="1:3" ht="15" customHeight="1" x14ac:dyDescent="0.35">
      <c r="A53" s="38" t="s">
        <v>1382</v>
      </c>
      <c r="B53" s="38" t="s">
        <v>1328</v>
      </c>
      <c r="C53" s="79" t="s">
        <v>1329</v>
      </c>
    </row>
    <row r="54" spans="1:3" ht="21.75" customHeight="1" x14ac:dyDescent="0.35">
      <c r="A54" s="38" t="s">
        <v>1383</v>
      </c>
      <c r="B54" s="38" t="s">
        <v>1384</v>
      </c>
      <c r="C54" s="79" t="s">
        <v>1385</v>
      </c>
    </row>
    <row r="55" spans="1:3" ht="23" customHeight="1" x14ac:dyDescent="0.35">
      <c r="A55" s="87" t="s">
        <v>1386</v>
      </c>
      <c r="B55" s="87" t="s">
        <v>1387</v>
      </c>
      <c r="C55" s="88" t="s">
        <v>1388</v>
      </c>
    </row>
    <row r="56" spans="1:3" x14ac:dyDescent="0.35">
      <c r="A56" s="124" t="s">
        <v>1389</v>
      </c>
      <c r="B56" s="124" t="s">
        <v>1390</v>
      </c>
      <c r="C56" s="125" t="s">
        <v>1391</v>
      </c>
    </row>
    <row r="57" spans="1:3" x14ac:dyDescent="0.35">
      <c r="A57" s="124" t="s">
        <v>1392</v>
      </c>
      <c r="B57" s="124" t="s">
        <v>1393</v>
      </c>
      <c r="C57" s="125" t="s">
        <v>1394</v>
      </c>
    </row>
    <row r="58" spans="1:3" x14ac:dyDescent="0.35">
      <c r="A58" s="124" t="s">
        <v>1395</v>
      </c>
      <c r="B58" s="124" t="s">
        <v>1396</v>
      </c>
      <c r="C58" s="125" t="s">
        <v>1397</v>
      </c>
    </row>
    <row r="59" spans="1:3" x14ac:dyDescent="0.35">
      <c r="A59" s="124" t="s">
        <v>1398</v>
      </c>
      <c r="B59" s="124" t="s">
        <v>1399</v>
      </c>
      <c r="C59" s="125" t="s">
        <v>1400</v>
      </c>
    </row>
    <row r="60" spans="1:3" ht="23" x14ac:dyDescent="0.35">
      <c r="A60" s="124" t="s">
        <v>1401</v>
      </c>
      <c r="B60" s="124" t="s">
        <v>1402</v>
      </c>
      <c r="C60" s="125" t="s">
        <v>1403</v>
      </c>
    </row>
    <row r="61" spans="1:3" ht="23" x14ac:dyDescent="0.35">
      <c r="A61" s="124" t="s">
        <v>1404</v>
      </c>
      <c r="B61" s="124" t="s">
        <v>1405</v>
      </c>
      <c r="C61" s="125" t="s">
        <v>1406</v>
      </c>
    </row>
    <row r="62" spans="1:3" x14ac:dyDescent="0.35">
      <c r="A62" s="124" t="s">
        <v>1407</v>
      </c>
      <c r="B62" s="124" t="s">
        <v>1408</v>
      </c>
      <c r="C62" s="125" t="s">
        <v>1409</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 me</vt:lpstr>
      <vt:lpstr>Competitor master</vt:lpstr>
      <vt:lpstr>Feature matrix</vt:lpstr>
      <vt:lpstr>Pricing</vt:lpstr>
      <vt:lpstr>Vs 5U AI</vt:lpstr>
      <vt:lpstr>Pricing benchmarks</vt:lpstr>
      <vt:lpstr>Pricing recommendation</vt:lpstr>
      <vt:lpstr>Market sizing</vt:lpstr>
      <vt:lpstr>GTM and ICP</vt:lpstr>
      <vt:lpstr>Whitespace</vt:lpstr>
      <vt:lpstr>Unit economics</vt:lpstr>
      <vt:lpstr>Horizontal platforms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 Hilal Khan</cp:lastModifiedBy>
  <cp:revision>0</cp:revision>
  <dcterms:created xsi:type="dcterms:W3CDTF">2026-07-30T15:14:01Z</dcterms:created>
  <dcterms:modified xsi:type="dcterms:W3CDTF">2026-07-30T21:12:14Z</dcterms:modified>
  <dc:language>en-US</dc:language>
</cp:coreProperties>
</file>