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 Me" sheetId="1" state="visible" r:id="rId3"/>
    <sheet name="Assumptions" sheetId="2" state="visible" r:id="rId4"/>
    <sheet name="Scenarios" sheetId="3" state="visible" r:id="rId5"/>
    <sheet name="Stress Tests" sheetId="4" state="visible" r:id="rId6"/>
    <sheet name="MECE Map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<sst xmlns="http://schemas.openxmlformats.org/spreadsheetml/2006/main" count="199" uniqueCount="174">
  <si>
    <t xml:space="preserve">5U AI — GTM Scenario &amp; Stress-Test Model</t>
  </si>
  <si>
    <t xml:space="preserve">Built 30 Jul 2026 by Scaile research. Companion to 5U-AI-Research-Dossier.docx, 5U-AI-Competitor-Analysis.xlsx, 5U-AI-ICP-Report.docx and 5U-AI-MECE-Strategy.docx.</t>
  </si>
  <si>
    <t xml:space="preserve">How to use</t>
  </si>
  <si>
    <t xml:space="preserve">Every BLUE number is an editable input; YELLOW cells are the key levers. Everything black recalculates. To stress-test: change any blue cell on 'Assumptions' or the scenario levers on 'Scenarios' and watch ARR, EBITDA, break-even and cash flags update.</t>
  </si>
  <si>
    <t xml:space="preserve">Colour legend (standard model convention)</t>
  </si>
  <si>
    <t xml:space="preserve">Blue text = hardcoded input / lever.  Black = formula.  Green = link to another sheet.  Yellow fill = key assumption you should challenge first.</t>
  </si>
  <si>
    <t xml:space="preserve">Structure (MECE)</t>
  </si>
  <si>
    <t xml:space="preserve">Scenarios S0–S5 are strategy choices (internal, mutually exclusive levers; S5 = combination). Stress shocks are environment cases (external), applied orthogonally to every scenario on 'Stress Tests'. Strategy × Environment covers the decision space without overlap.</t>
  </si>
  <si>
    <t xml:space="preserve">Source discipline</t>
  </si>
  <si>
    <t xml:space="preserve">Each assumption is tagged in column D of 'Assumptions': DOSSIER §n = sourced from the research dossier; ASSUMPTION = our estimate, not sourced — challenge these first. None of 5U AI's actual books are public; this tests the shape of the strategy, not audited financials.</t>
  </si>
  <si>
    <t xml:space="preserve">ASSUMPTIONS — edit blue cells</t>
  </si>
  <si>
    <t xml:space="preserve">Input</t>
  </si>
  <si>
    <t xml:space="preserve">Value</t>
  </si>
  <si>
    <t xml:space="preserve">Unit</t>
  </si>
  <si>
    <t xml:space="preserve">Source / note</t>
  </si>
  <si>
    <t xml:space="preserve">Beachhead pool (DACH+Benelux forwarders, 100–500 emp)</t>
  </si>
  <si>
    <t xml:space="preserve">companies</t>
  </si>
  <si>
    <t xml:space="preserve">DOSSIER §13 (28% of EU base)</t>
  </si>
  <si>
    <t xml:space="preserve">Full ICP pool (EU+UK+US, 100–500 emp)</t>
  </si>
  <si>
    <t xml:space="preserve">DOSSIER §13 (4–6% of ~36,000)</t>
  </si>
  <si>
    <t xml:space="preserve">Self-serve tail pool reachable (DACH+BNL, &lt;100 emp)</t>
  </si>
  <si>
    <t xml:space="preserve">Derived: ~19,000 EU × 28% — ASSUMPTION on reachability</t>
  </si>
  <si>
    <t xml:space="preserve">Road-freight pool addressable via Timocom</t>
  </si>
  <si>
    <t xml:space="preserve">ASSUMPTION — not sourced in dossier; challenge first</t>
  </si>
  <si>
    <t xml:space="preserve">ACV — core (today)</t>
  </si>
  <si>
    <t xml:space="preserve">€/yr</t>
  </si>
  <si>
    <t xml:space="preserve">DOSSIER §13 SOM model</t>
  </si>
  <si>
    <t xml:space="preserve">ACV — expanded (customs + voice + deploy fees)</t>
  </si>
  <si>
    <t xml:space="preserve">DOSSIER §12 mature rate card €75–85k</t>
  </si>
  <si>
    <t xml:space="preserve">ACV — self-serve</t>
  </si>
  <si>
    <t xml:space="preserve">Benchmark: Cargofy ~US$5k sub-100 accounts</t>
  </si>
  <si>
    <t xml:space="preserve">ACV — road Worker</t>
  </si>
  <si>
    <t xml:space="preserve">ASSUMPTION — Launch-package price point</t>
  </si>
  <si>
    <t xml:space="preserve">Gross margin Y1</t>
  </si>
  <si>
    <t xml:space="preserve">%</t>
  </si>
  <si>
    <t xml:space="preserve">DOSSIER §16: 43–45% year 1</t>
  </si>
  <si>
    <t xml:space="preserve">Gross margin Y2</t>
  </si>
  <si>
    <t xml:space="preserve">Interpolated — ASSUMPTION</t>
  </si>
  <si>
    <t xml:space="preserve">Gross margin Y3 (steady state)</t>
  </si>
  <si>
    <t xml:space="preserve">DOSSIER §16: 60–69% steady state</t>
  </si>
  <si>
    <t xml:space="preserve">Gross margin — self-serve (not separately modelled)</t>
  </si>
  <si>
    <t xml:space="preserve">ASSUMPTION; blended GM used for simplicity — conservative</t>
  </si>
  <si>
    <t xml:space="preserve">Penetration ramp — Y1 (share of Y3 target)</t>
  </si>
  <si>
    <t xml:space="preserve">×</t>
  </si>
  <si>
    <t xml:space="preserve">ASSUMPTION — typical enterprise ramp</t>
  </si>
  <si>
    <t xml:space="preserve">Penetration ramp — Y2 (share of Y3 target)</t>
  </si>
  <si>
    <t xml:space="preserve">ASSUMPTION</t>
  </si>
  <si>
    <t xml:space="preserve">Customers served per FDE</t>
  </si>
  <si>
    <t xml:space="preserve">accounts</t>
  </si>
  <si>
    <t xml:space="preserve">DOSSIER §16.2</t>
  </si>
  <si>
    <t xml:space="preserve">FDE headcount Y1</t>
  </si>
  <si>
    <t xml:space="preserve">FDEs</t>
  </si>
  <si>
    <t xml:space="preserve">ASSUMPTION — hiring plan lever</t>
  </si>
  <si>
    <t xml:space="preserve">FDE headcount Y2</t>
  </si>
  <si>
    <t xml:space="preserve">FDE headcount Y3</t>
  </si>
  <si>
    <t xml:space="preserve">ASSUMPTION — 'hiring FDEs is the growth budget'</t>
  </si>
  <si>
    <t xml:space="preserve">Opex Y1</t>
  </si>
  <si>
    <t xml:space="preserve">ASSUMPTION — sub-scale of §16 breakeven opex</t>
  </si>
  <si>
    <t xml:space="preserve">Opex Y2</t>
  </si>
  <si>
    <t xml:space="preserve">Opex Y3</t>
  </si>
  <si>
    <t xml:space="preserve">DOSSIER §16: €1.89m (14 heads × €115k + €280k)</t>
  </si>
  <si>
    <t xml:space="preserve">Starting cash (pre-seed, US$3.2m ≈)</t>
  </si>
  <si>
    <t xml:space="preserve">€</t>
  </si>
  <si>
    <t xml:space="preserve">DOSSIER: raise 28 Jul 2026; USD≈EUR at this precision</t>
  </si>
  <si>
    <t xml:space="preserve">Self-serve Y3 penetration</t>
  </si>
  <si>
    <t xml:space="preserve">ASSUMPTION — product-led, unproven</t>
  </si>
  <si>
    <t xml:space="preserve">Road Y3 penetration</t>
  </si>
  <si>
    <t xml:space="preserve">Shock — price pressure (ACV cut)</t>
  </si>
  <si>
    <t xml:space="preserve">Case: Nexcade publishes pricing first / bake-offs</t>
  </si>
  <si>
    <t xml:space="preserve">Shock — demand loss (penetration cut)</t>
  </si>
  <si>
    <t xml:space="preserve">Case: cargo.one owns distribution; sales cycles slip</t>
  </si>
  <si>
    <t xml:space="preserve">Shock — churn (customer loss at renewal)</t>
  </si>
  <si>
    <t xml:space="preserve">Case: 2-yr lock-in ends without SLA/SOC 2 fixed</t>
  </si>
  <si>
    <t xml:space="preserve">Shock — capacity (FDE hiring shortfall)</t>
  </si>
  <si>
    <t xml:space="preserve">Case: Munich AI-talent market; forward-deployed bottleneck</t>
  </si>
  <si>
    <t xml:space="preserve">STRATEGY SCENARIOS — six MECE strategy cases, 3-year view</t>
  </si>
  <si>
    <t xml:space="preserve">Scenario</t>
  </si>
  <si>
    <t xml:space="preserve">S0 Beachhead only</t>
  </si>
  <si>
    <t xml:space="preserve">S1 + Partner channel</t>
  </si>
  <si>
    <t xml:space="preserve">S2 + ACV expansion</t>
  </si>
  <si>
    <t xml:space="preserve">S3 + Self-serve tail</t>
  </si>
  <si>
    <t xml:space="preserve">S4 + Road (Timocom)</t>
  </si>
  <si>
    <t xml:space="preserve">S5 Combined</t>
  </si>
  <si>
    <t xml:space="preserve">Status quo: founder-led, 213-co pool, €60k ACV</t>
  </si>
  <si>
    <t xml:space="preserve">CargoWise/Timocom channel lifts Y3 penetration</t>
  </si>
  <si>
    <t xml:space="preserve">Customs + voice + deploy fees raise ACV</t>
  </si>
  <si>
    <t xml:space="preserve">Base + product-led motion into &lt;100-emp tail</t>
  </si>
  <si>
    <t xml:space="preserve">Base + Road Charter Worker via Timocom</t>
  </si>
  <si>
    <t xml:space="preserve">S1 levers + S2 ACV + S3 + S4 together</t>
  </si>
  <si>
    <t xml:space="preserve">LEVERS (blue = per-scenario input)</t>
  </si>
  <si>
    <t xml:space="preserve">Y3 core-ICP penetration</t>
  </si>
  <si>
    <t xml:space="preserve">Core ACV used</t>
  </si>
  <si>
    <t xml:space="preserve">Self-serve motion on? (0/1)</t>
  </si>
  <si>
    <t xml:space="preserve">Road motion on? (0/1)</t>
  </si>
  <si>
    <t xml:space="preserve">CUSTOMERS</t>
  </si>
  <si>
    <t xml:space="preserve">Forward-deployed customers Y1</t>
  </si>
  <si>
    <t xml:space="preserve">Forward-deployed customers Y2</t>
  </si>
  <si>
    <t xml:space="preserve">Forward-deployed customers Y3</t>
  </si>
  <si>
    <t xml:space="preserve">Self-serve customers Y3</t>
  </si>
  <si>
    <t xml:space="preserve">Road customers Y3</t>
  </si>
  <si>
    <t xml:space="preserve">FD potential Y3 (pre-capacity-cap)</t>
  </si>
  <si>
    <t xml:space="preserve">FD capacity cap Y3 (FDEs × 10)</t>
  </si>
  <si>
    <t xml:space="preserve">P&amp;L</t>
  </si>
  <si>
    <t xml:space="preserve">ARR Y1</t>
  </si>
  <si>
    <t xml:space="preserve">ARR Y2</t>
  </si>
  <si>
    <t xml:space="preserve">ARR Y3</t>
  </si>
  <si>
    <t xml:space="preserve">EBITDA Y1</t>
  </si>
  <si>
    <t xml:space="preserve">EBITDA Y2</t>
  </si>
  <si>
    <t xml:space="preserve">EBITDA Y3</t>
  </si>
  <si>
    <t xml:space="preserve">VERDICT</t>
  </si>
  <si>
    <t xml:space="preserve">Cash end of Y3</t>
  </si>
  <si>
    <t xml:space="preserve">Break-even ARR (opex Y3 / GM Y3)</t>
  </si>
  <si>
    <t xml:space="preserve">Break-even by Y3?</t>
  </si>
  <si>
    <t xml:space="preserve">Y3 ARR vs S0</t>
  </si>
  <si>
    <t xml:space="preserve">Funding verdict</t>
  </si>
  <si>
    <t xml:space="preserve">STRESS TESTS — environment shocks × strategy scenarios</t>
  </si>
  <si>
    <t xml:space="preserve">Shock multipliers (derived from Assumptions rows 35–38)</t>
  </si>
  <si>
    <t xml:space="preserve">Shock case</t>
  </si>
  <si>
    <t xml:space="preserve">Demand ×</t>
  </si>
  <si>
    <t xml:space="preserve">Churn ×</t>
  </si>
  <si>
    <t xml:space="preserve">Price ×</t>
  </si>
  <si>
    <t xml:space="preserve">Capacity ×</t>
  </si>
  <si>
    <t xml:space="preserve">Base (no shock)</t>
  </si>
  <si>
    <t xml:space="preserve">Price pressure</t>
  </si>
  <si>
    <t xml:space="preserve">Demand loss</t>
  </si>
  <si>
    <t xml:space="preserve">Churn at renewal</t>
  </si>
  <si>
    <t xml:space="preserve">FDE hiring shortfall</t>
  </si>
  <si>
    <t xml:space="preserve">Combined downside</t>
  </si>
  <si>
    <t xml:space="preserve">Y3 ARR under shock (€)</t>
  </si>
  <si>
    <t xml:space="preserve">Shock ↓</t>
  </si>
  <si>
    <t xml:space="preserve">Y3 EBITDA under shock (€)  — negative = still burning at steady state</t>
  </si>
  <si>
    <t xml:space="preserve">Sensitivity — beachhead-only Y3 ARR (€): penetration × ACV</t>
  </si>
  <si>
    <t xml:space="preserve">Pen ↓ / ACV →</t>
  </si>
  <si>
    <t xml:space="preserve">Break-even ARR benchmark (=Assumptions opex Y3 / GM Y3):</t>
  </si>
  <si>
    <t xml:space="preserve">Break-even customers — opex × gross margin (at core ACV, Scenarios S0 column)</t>
  </si>
  <si>
    <t xml:space="preserve">Opex ↓ / GM →</t>
  </si>
  <si>
    <t xml:space="preserve">Reference: beachhead pool = 213 companies — any cell above ~40 needs &gt;19% penetration just to break even.</t>
  </si>
  <si>
    <t xml:space="preserve">MECE STRATEGY MAP — see 5U-AI-MECE-Strategy.docx for the full system</t>
  </si>
  <si>
    <t xml:space="preserve">Level 1 — ARR drivers</t>
  </si>
  <si>
    <t xml:space="preserve">Customers (volume)</t>
  </si>
  <si>
    <t xml:space="preserve">× ACV (price)</t>
  </si>
  <si>
    <t xml:space="preserve">Constraint: FDE capacity (delivery)</t>
  </si>
  <si>
    <t xml:space="preserve">Level 2 — volume levers</t>
  </si>
  <si>
    <t xml:space="preserve">More penetration of core pool (S1)</t>
  </si>
  <si>
    <t xml:space="preserve">New pools: tail (S3), road (S4)</t>
  </si>
  <si>
    <t xml:space="preserve">Exhaustive: no other volume source exists</t>
  </si>
  <si>
    <t xml:space="preserve">Level 2 — price levers</t>
  </si>
  <si>
    <t xml:space="preserve">New Workers: customs, voice (S2)</t>
  </si>
  <si>
    <t xml:space="preserve">Monetise deployment (per-Worker fee)</t>
  </si>
  <si>
    <t xml:space="preserve">Exhaustive vs whitespace §15</t>
  </si>
  <si>
    <t xml:space="preserve">Segment (MECE)</t>
  </si>
  <si>
    <t xml:space="preserve">Primary channel (one owner each)</t>
  </si>
  <si>
    <t xml:space="preserve">Secondary support</t>
  </si>
  <si>
    <t xml:space="preserve">Never</t>
  </si>
  <si>
    <t xml:space="preserve">Core 100–500 forwarders, DACH+BNL</t>
  </si>
  <si>
    <t xml:space="preserve">Founder-led outbound, paid pilots</t>
  </si>
  <si>
    <t xml:space="preserve">References, comparison pages</t>
  </si>
  <si>
    <t xml:space="preserve">Broad paid marketing</t>
  </si>
  <si>
    <t xml:space="preserve">Core, in CargoWise ecosystem</t>
  </si>
  <si>
    <t xml:space="preserve">Certified CargoWise partner listing</t>
  </si>
  <si>
    <t xml:space="preserve">Raft-style integration content</t>
  </si>
  <si>
    <t xml:space="preserve">Competing head-on without the listing</t>
  </si>
  <si>
    <t xml:space="preserve">Road forwarders (Timocom users)</t>
  </si>
  <si>
    <t xml:space="preserve">Timocom marketplace</t>
  </si>
  <si>
    <t xml:space="preserve">Road Charter Worker launch content</t>
  </si>
  <si>
    <t xml:space="preserve">FDE-led selling at €35k ACV as the steady state (time-boxed discovery pilots excepted — see MECE doc)</t>
  </si>
  <si>
    <t xml:space="preserve">Sub-100 tail</t>
  </si>
  <si>
    <t xml:space="preserve">Product-led self-serve</t>
  </si>
  <si>
    <t xml:space="preserve">SEO/content only</t>
  </si>
  <si>
    <t xml:space="preserve">FDE deployment (uneconomic)</t>
  </si>
  <si>
    <t xml:space="preserve">100–500 outside DACH+BNL</t>
  </si>
  <si>
    <t xml:space="preserve">Deferred — Y3+ decision gate</t>
  </si>
  <si>
    <t xml:space="preserve">—</t>
  </si>
  <si>
    <t xml:space="preserve">Premature geographic spread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</si>
</sst>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€#,##0"/>
    <numFmt numFmtId="167" formatCode="0.0%"/>
    <numFmt numFmtId="168" formatCode="0.0\x"/>
    <numFmt numFmtId="169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666666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17.35" hidden="false" customHeight="false" outlineLevel="0" collapsed="false">
      <c r="B1" s="1" t="s">
        <v>0</v>
      </c>
    </row>
    <row r="3" customFormat="false" ht="30" hidden="false" customHeight="tru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</row>
    <row r="7" customFormat="false" ht="30" hidden="false" customHeight="true" outlineLevel="0" collapsed="false">
      <c r="B7" s="2" t="s">
        <v>3</v>
      </c>
    </row>
    <row r="9" customFormat="false" ht="15" hidden="false" customHeight="false" outlineLevel="0" collapsed="false">
      <c r="B9" s="3" t="s">
        <v>4</v>
      </c>
    </row>
    <row r="11" customFormat="false" ht="30" hidden="false" customHeight="true" outlineLevel="0" collapsed="false">
      <c r="B11" s="2" t="s">
        <v>5</v>
      </c>
    </row>
    <row r="13" customFormat="false" ht="15" hidden="false" customHeight="false" outlineLevel="0" collapsed="false">
      <c r="B13" s="3" t="s">
        <v>6</v>
      </c>
    </row>
    <row r="15" customFormat="false" ht="30" hidden="false" customHeight="true" outlineLevel="0" collapsed="false">
      <c r="B15" s="2" t="s">
        <v>7</v>
      </c>
    </row>
    <row r="17" customFormat="false" ht="15" hidden="false" customHeight="false" outlineLevel="0" collapsed="false">
      <c r="B17" s="3" t="s">
        <v>8</v>
      </c>
    </row>
    <row r="19" customFormat="false" ht="30" hidden="false" customHeight="true" outlineLevel="0" collapsed="false">
      <c r="B19" s="2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10</v>
      </c>
    </row>
    <row r="2" customFormat="false" ht="15" hidden="false" customHeight="false" outlineLevel="0" collapsed="false">
      <c r="A2" s="4" t="s">
        <v>11</v>
      </c>
      <c r="B2" s="4" t="s">
        <v>12</v>
      </c>
      <c r="C2" s="4" t="s">
        <v>13</v>
      </c>
      <c r="D2" s="4" t="s">
        <v>14</v>
      </c>
    </row>
    <row r="3" customFormat="false" ht="15" hidden="false" customHeight="false" outlineLevel="0" collapsed="false">
      <c r="A3" s="5" t="s">
        <v>15</v>
      </c>
      <c r="B3" s="6" t="n">
        <v>213</v>
      </c>
      <c r="C3" s="7" t="s">
        <v>16</v>
      </c>
      <c r="D3" s="7" t="s">
        <v>17</v>
      </c>
    </row>
    <row r="4" customFormat="false" ht="15" hidden="false" customHeight="false" outlineLevel="0" collapsed="false">
      <c r="A4" s="5" t="s">
        <v>18</v>
      </c>
      <c r="B4" s="8" t="n">
        <v>1479</v>
      </c>
      <c r="C4" s="7" t="s">
        <v>16</v>
      </c>
      <c r="D4" s="7" t="s">
        <v>19</v>
      </c>
    </row>
    <row r="5" customFormat="false" ht="15" hidden="false" customHeight="false" outlineLevel="0" collapsed="false">
      <c r="A5" s="5" t="s">
        <v>20</v>
      </c>
      <c r="B5" s="8" t="n">
        <v>5320</v>
      </c>
      <c r="C5" s="7" t="s">
        <v>16</v>
      </c>
      <c r="D5" s="7" t="s">
        <v>21</v>
      </c>
    </row>
    <row r="6" customFormat="false" ht="15" hidden="false" customHeight="false" outlineLevel="0" collapsed="false">
      <c r="A6" s="5" t="s">
        <v>22</v>
      </c>
      <c r="B6" s="6" t="n">
        <v>400</v>
      </c>
      <c r="C6" s="7" t="s">
        <v>16</v>
      </c>
      <c r="D6" s="7" t="s">
        <v>23</v>
      </c>
    </row>
    <row r="8" customFormat="false" ht="15" hidden="false" customHeight="false" outlineLevel="0" collapsed="false">
      <c r="A8" s="5" t="s">
        <v>24</v>
      </c>
      <c r="B8" s="9" t="n">
        <v>60000</v>
      </c>
      <c r="C8" s="7" t="s">
        <v>25</v>
      </c>
      <c r="D8" s="7" t="s">
        <v>26</v>
      </c>
    </row>
    <row r="9" customFormat="false" ht="15" hidden="false" customHeight="false" outlineLevel="0" collapsed="false">
      <c r="A9" s="5" t="s">
        <v>27</v>
      </c>
      <c r="B9" s="10" t="n">
        <v>85000</v>
      </c>
      <c r="C9" s="7" t="s">
        <v>25</v>
      </c>
      <c r="D9" s="7" t="s">
        <v>28</v>
      </c>
    </row>
    <row r="10" customFormat="false" ht="15" hidden="false" customHeight="false" outlineLevel="0" collapsed="false">
      <c r="A10" s="5" t="s">
        <v>29</v>
      </c>
      <c r="B10" s="10" t="n">
        <v>6000</v>
      </c>
      <c r="C10" s="7" t="s">
        <v>25</v>
      </c>
      <c r="D10" s="7" t="s">
        <v>30</v>
      </c>
    </row>
    <row r="11" customFormat="false" ht="15" hidden="false" customHeight="false" outlineLevel="0" collapsed="false">
      <c r="A11" s="5" t="s">
        <v>31</v>
      </c>
      <c r="B11" s="10" t="n">
        <v>35000</v>
      </c>
      <c r="C11" s="7" t="s">
        <v>25</v>
      </c>
      <c r="D11" s="7" t="s">
        <v>32</v>
      </c>
    </row>
    <row r="13" customFormat="false" ht="15" hidden="false" customHeight="false" outlineLevel="0" collapsed="false">
      <c r="A13" s="5" t="s">
        <v>33</v>
      </c>
      <c r="B13" s="11" t="n">
        <v>0.44</v>
      </c>
      <c r="C13" s="7" t="s">
        <v>34</v>
      </c>
      <c r="D13" s="7" t="s">
        <v>35</v>
      </c>
    </row>
    <row r="14" customFormat="false" ht="15" hidden="false" customHeight="false" outlineLevel="0" collapsed="false">
      <c r="A14" s="5" t="s">
        <v>36</v>
      </c>
      <c r="B14" s="11" t="n">
        <v>0.55</v>
      </c>
      <c r="C14" s="7" t="s">
        <v>34</v>
      </c>
      <c r="D14" s="7" t="s">
        <v>37</v>
      </c>
    </row>
    <row r="15" customFormat="false" ht="15" hidden="false" customHeight="false" outlineLevel="0" collapsed="false">
      <c r="A15" s="5" t="s">
        <v>38</v>
      </c>
      <c r="B15" s="12" t="n">
        <v>0.65</v>
      </c>
      <c r="C15" s="7" t="s">
        <v>34</v>
      </c>
      <c r="D15" s="7" t="s">
        <v>39</v>
      </c>
    </row>
    <row r="16" customFormat="false" ht="15" hidden="false" customHeight="false" outlineLevel="0" collapsed="false">
      <c r="A16" s="5" t="s">
        <v>40</v>
      </c>
      <c r="B16" s="11" t="n">
        <v>0.85</v>
      </c>
      <c r="C16" s="7" t="s">
        <v>34</v>
      </c>
      <c r="D16" s="7" t="s">
        <v>41</v>
      </c>
    </row>
    <row r="18" customFormat="false" ht="15" hidden="false" customHeight="false" outlineLevel="0" collapsed="false">
      <c r="A18" s="5" t="s">
        <v>42</v>
      </c>
      <c r="B18" s="11" t="n">
        <v>0.25</v>
      </c>
      <c r="C18" s="7" t="s">
        <v>43</v>
      </c>
      <c r="D18" s="7" t="s">
        <v>44</v>
      </c>
    </row>
    <row r="19" customFormat="false" ht="15" hidden="false" customHeight="false" outlineLevel="0" collapsed="false">
      <c r="A19" s="5" t="s">
        <v>45</v>
      </c>
      <c r="B19" s="11" t="n">
        <v>0.6</v>
      </c>
      <c r="C19" s="7" t="s">
        <v>43</v>
      </c>
      <c r="D19" s="7" t="s">
        <v>46</v>
      </c>
    </row>
    <row r="21" customFormat="false" ht="15" hidden="false" customHeight="false" outlineLevel="0" collapsed="false">
      <c r="A21" s="5" t="s">
        <v>47</v>
      </c>
      <c r="B21" s="8" t="n">
        <v>10</v>
      </c>
      <c r="C21" s="7" t="s">
        <v>48</v>
      </c>
      <c r="D21" s="7" t="s">
        <v>49</v>
      </c>
    </row>
    <row r="22" customFormat="false" ht="15" hidden="false" customHeight="false" outlineLevel="0" collapsed="false">
      <c r="A22" s="5" t="s">
        <v>50</v>
      </c>
      <c r="B22" s="8" t="n">
        <v>2</v>
      </c>
      <c r="C22" s="7" t="s">
        <v>51</v>
      </c>
      <c r="D22" s="7" t="s">
        <v>52</v>
      </c>
    </row>
    <row r="23" customFormat="false" ht="15" hidden="false" customHeight="false" outlineLevel="0" collapsed="false">
      <c r="A23" s="5" t="s">
        <v>53</v>
      </c>
      <c r="B23" s="8" t="n">
        <v>4</v>
      </c>
      <c r="C23" s="7" t="s">
        <v>51</v>
      </c>
      <c r="D23" s="7" t="s">
        <v>46</v>
      </c>
    </row>
    <row r="24" customFormat="false" ht="15" hidden="false" customHeight="false" outlineLevel="0" collapsed="false">
      <c r="A24" s="5" t="s">
        <v>54</v>
      </c>
      <c r="B24" s="6" t="n">
        <v>6</v>
      </c>
      <c r="C24" s="7" t="s">
        <v>51</v>
      </c>
      <c r="D24" s="7" t="s">
        <v>55</v>
      </c>
    </row>
    <row r="26" customFormat="false" ht="15" hidden="false" customHeight="false" outlineLevel="0" collapsed="false">
      <c r="A26" s="5" t="s">
        <v>56</v>
      </c>
      <c r="B26" s="10" t="n">
        <v>1400000</v>
      </c>
      <c r="C26" s="7" t="s">
        <v>25</v>
      </c>
      <c r="D26" s="7" t="s">
        <v>57</v>
      </c>
    </row>
    <row r="27" customFormat="false" ht="15" hidden="false" customHeight="false" outlineLevel="0" collapsed="false">
      <c r="A27" s="5" t="s">
        <v>58</v>
      </c>
      <c r="B27" s="10" t="n">
        <v>1700000</v>
      </c>
      <c r="C27" s="7" t="s">
        <v>25</v>
      </c>
      <c r="D27" s="7" t="s">
        <v>46</v>
      </c>
    </row>
    <row r="28" customFormat="false" ht="15" hidden="false" customHeight="false" outlineLevel="0" collapsed="false">
      <c r="A28" s="5" t="s">
        <v>59</v>
      </c>
      <c r="B28" s="9" t="n">
        <v>1900000</v>
      </c>
      <c r="C28" s="7" t="s">
        <v>25</v>
      </c>
      <c r="D28" s="7" t="s">
        <v>60</v>
      </c>
    </row>
    <row r="30" customFormat="false" ht="15" hidden="false" customHeight="false" outlineLevel="0" collapsed="false">
      <c r="A30" s="5" t="s">
        <v>61</v>
      </c>
      <c r="B30" s="10" t="n">
        <v>2950000</v>
      </c>
      <c r="C30" s="7" t="s">
        <v>62</v>
      </c>
      <c r="D30" s="7" t="s">
        <v>63</v>
      </c>
    </row>
    <row r="32" customFormat="false" ht="15" hidden="false" customHeight="false" outlineLevel="0" collapsed="false">
      <c r="A32" s="5" t="s">
        <v>64</v>
      </c>
      <c r="B32" s="11" t="n">
        <v>0.015</v>
      </c>
      <c r="C32" s="7" t="s">
        <v>34</v>
      </c>
      <c r="D32" s="7" t="s">
        <v>65</v>
      </c>
    </row>
    <row r="33" customFormat="false" ht="15" hidden="false" customHeight="false" outlineLevel="0" collapsed="false">
      <c r="A33" s="5" t="s">
        <v>66</v>
      </c>
      <c r="B33" s="11" t="n">
        <v>0.08</v>
      </c>
      <c r="C33" s="7" t="s">
        <v>34</v>
      </c>
      <c r="D33" s="7" t="s">
        <v>46</v>
      </c>
    </row>
    <row r="35" customFormat="false" ht="15" hidden="false" customHeight="false" outlineLevel="0" collapsed="false">
      <c r="A35" s="5" t="s">
        <v>67</v>
      </c>
      <c r="B35" s="11" t="n">
        <v>0.2</v>
      </c>
      <c r="C35" s="7" t="s">
        <v>34</v>
      </c>
      <c r="D35" s="7" t="s">
        <v>68</v>
      </c>
    </row>
    <row r="36" customFormat="false" ht="15" hidden="false" customHeight="false" outlineLevel="0" collapsed="false">
      <c r="A36" s="5" t="s">
        <v>69</v>
      </c>
      <c r="B36" s="11" t="n">
        <v>0.33</v>
      </c>
      <c r="C36" s="7" t="s">
        <v>34</v>
      </c>
      <c r="D36" s="7" t="s">
        <v>70</v>
      </c>
    </row>
    <row r="37" customFormat="false" ht="15" hidden="false" customHeight="false" outlineLevel="0" collapsed="false">
      <c r="A37" s="5" t="s">
        <v>71</v>
      </c>
      <c r="B37" s="11" t="n">
        <v>0.15</v>
      </c>
      <c r="C37" s="7" t="s">
        <v>34</v>
      </c>
      <c r="D37" s="7" t="s">
        <v>72</v>
      </c>
    </row>
    <row r="38" customFormat="false" ht="15" hidden="false" customHeight="false" outlineLevel="0" collapsed="false">
      <c r="A38" s="5" t="s">
        <v>73</v>
      </c>
      <c r="B38" s="11" t="n">
        <v>0.5</v>
      </c>
      <c r="C38" s="7" t="s">
        <v>34</v>
      </c>
      <c r="D38" s="7" t="s">
        <v>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7" min="2" style="0" width="15"/>
  </cols>
  <sheetData>
    <row r="1" customFormat="false" ht="17.35" hidden="false" customHeight="false" outlineLevel="0" collapsed="false">
      <c r="A1" s="1" t="s">
        <v>75</v>
      </c>
    </row>
    <row r="2" customFormat="false" ht="15" hidden="false" customHeight="false" outlineLevel="0" collapsed="false">
      <c r="A2" s="4" t="s">
        <v>76</v>
      </c>
      <c r="B2" s="4" t="s">
        <v>77</v>
      </c>
      <c r="C2" s="4" t="s">
        <v>78</v>
      </c>
      <c r="D2" s="4" t="s">
        <v>79</v>
      </c>
      <c r="E2" s="4" t="s">
        <v>80</v>
      </c>
      <c r="F2" s="4" t="s">
        <v>81</v>
      </c>
      <c r="G2" s="4" t="s">
        <v>82</v>
      </c>
    </row>
    <row r="3" customFormat="false" ht="39.75" hidden="false" customHeight="true" outlineLevel="0" collapsed="false">
      <c r="B3" s="13" t="s">
        <v>83</v>
      </c>
      <c r="C3" s="13" t="s">
        <v>84</v>
      </c>
      <c r="D3" s="13" t="s">
        <v>85</v>
      </c>
      <c r="E3" s="13" t="s">
        <v>86</v>
      </c>
      <c r="F3" s="13" t="s">
        <v>87</v>
      </c>
      <c r="G3" s="13" t="s">
        <v>88</v>
      </c>
    </row>
    <row r="5" customFormat="false" ht="15" hidden="false" customHeight="false" outlineLevel="0" collapsed="false">
      <c r="A5" s="3" t="s">
        <v>89</v>
      </c>
    </row>
    <row r="6" customFormat="false" ht="15" hidden="false" customHeight="false" outlineLevel="0" collapsed="false">
      <c r="A6" s="14" t="s">
        <v>90</v>
      </c>
      <c r="B6" s="12" t="n">
        <v>0.12</v>
      </c>
      <c r="C6" s="12" t="n">
        <v>0.2</v>
      </c>
      <c r="D6" s="12" t="n">
        <v>0.12</v>
      </c>
      <c r="E6" s="12" t="n">
        <v>0.12</v>
      </c>
      <c r="F6" s="12" t="n">
        <v>0.12</v>
      </c>
      <c r="G6" s="12" t="n">
        <v>0.2</v>
      </c>
    </row>
    <row r="7" customFormat="false" ht="15" hidden="false" customHeight="false" outlineLevel="0" collapsed="false">
      <c r="A7" s="14" t="s">
        <v>91</v>
      </c>
      <c r="B7" s="15" t="n">
        <f aca="false">Assumptions!$B$8</f>
        <v>60000</v>
      </c>
      <c r="C7" s="15" t="n">
        <f aca="false">Assumptions!$B$8</f>
        <v>60000</v>
      </c>
      <c r="D7" s="15" t="n">
        <f aca="false">Assumptions!$B$9</f>
        <v>85000</v>
      </c>
      <c r="E7" s="15" t="n">
        <f aca="false">Assumptions!$B$8</f>
        <v>60000</v>
      </c>
      <c r="F7" s="15" t="n">
        <f aca="false">Assumptions!$B$8</f>
        <v>60000</v>
      </c>
      <c r="G7" s="15" t="n">
        <f aca="false">Assumptions!$B$9</f>
        <v>85000</v>
      </c>
    </row>
    <row r="8" customFormat="false" ht="15" hidden="false" customHeight="false" outlineLevel="0" collapsed="false">
      <c r="A8" s="14" t="s">
        <v>92</v>
      </c>
      <c r="B8" s="8" t="n">
        <v>0</v>
      </c>
      <c r="C8" s="8" t="n">
        <v>0</v>
      </c>
      <c r="D8" s="8" t="n">
        <v>0</v>
      </c>
      <c r="E8" s="8" t="n">
        <v>1</v>
      </c>
      <c r="F8" s="8" t="n">
        <v>0</v>
      </c>
      <c r="G8" s="8" t="n">
        <v>1</v>
      </c>
    </row>
    <row r="9" customFormat="false" ht="15" hidden="false" customHeight="false" outlineLevel="0" collapsed="false">
      <c r="A9" s="14" t="s">
        <v>93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1</v>
      </c>
      <c r="G9" s="8" t="n">
        <v>1</v>
      </c>
    </row>
    <row r="11" customFormat="false" ht="15" hidden="false" customHeight="false" outlineLevel="0" collapsed="false">
      <c r="A11" s="3" t="s">
        <v>94</v>
      </c>
    </row>
    <row r="12" customFormat="false" ht="15" hidden="false" customHeight="false" outlineLevel="0" collapsed="false">
      <c r="A12" s="14" t="s">
        <v>95</v>
      </c>
      <c r="B12" s="16" t="n">
        <f aca="false">ROUND(MIN(Assumptions!$B$3*B$6*Assumptions!$B$18,Assumptions!$B$22*Assumptions!$B$21),0)</f>
        <v>6</v>
      </c>
      <c r="C12" s="16" t="n">
        <f aca="false">ROUND(MIN(Assumptions!$B$3*C$6*Assumptions!$B$18,Assumptions!$B$22*Assumptions!$B$21),0)</f>
        <v>11</v>
      </c>
      <c r="D12" s="16" t="n">
        <f aca="false">ROUND(MIN(Assumptions!$B$3*D$6*Assumptions!$B$18,Assumptions!$B$22*Assumptions!$B$21),0)</f>
        <v>6</v>
      </c>
      <c r="E12" s="16" t="n">
        <f aca="false">ROUND(MIN(Assumptions!$B$3*E$6*Assumptions!$B$18,Assumptions!$B$22*Assumptions!$B$21),0)</f>
        <v>6</v>
      </c>
      <c r="F12" s="16" t="n">
        <f aca="false">ROUND(MIN(Assumptions!$B$3*F$6*Assumptions!$B$18,Assumptions!$B$22*Assumptions!$B$21),0)</f>
        <v>6</v>
      </c>
      <c r="G12" s="16" t="n">
        <f aca="false">ROUND(MIN(Assumptions!$B$3*G$6*Assumptions!$B$18,Assumptions!$B$22*Assumptions!$B$21),0)</f>
        <v>11</v>
      </c>
    </row>
    <row r="13" customFormat="false" ht="15" hidden="false" customHeight="false" outlineLevel="0" collapsed="false">
      <c r="A13" s="14" t="s">
        <v>96</v>
      </c>
      <c r="B13" s="16" t="n">
        <f aca="false">ROUND(MIN(Assumptions!$B$3*B$6*Assumptions!$B$19,Assumptions!$B$23*Assumptions!$B$21),0)</f>
        <v>15</v>
      </c>
      <c r="C13" s="16" t="n">
        <f aca="false">ROUND(MIN(Assumptions!$B$3*C$6*Assumptions!$B$19,Assumptions!$B$23*Assumptions!$B$21),0)</f>
        <v>26</v>
      </c>
      <c r="D13" s="16" t="n">
        <f aca="false">ROUND(MIN(Assumptions!$B$3*D$6*Assumptions!$B$19,Assumptions!$B$23*Assumptions!$B$21),0)</f>
        <v>15</v>
      </c>
      <c r="E13" s="16" t="n">
        <f aca="false">ROUND(MIN(Assumptions!$B$3*E$6*Assumptions!$B$19,Assumptions!$B$23*Assumptions!$B$21),0)</f>
        <v>15</v>
      </c>
      <c r="F13" s="16" t="n">
        <f aca="false">ROUND(MIN(Assumptions!$B$3*F$6*Assumptions!$B$19,Assumptions!$B$23*Assumptions!$B$21),0)</f>
        <v>15</v>
      </c>
      <c r="G13" s="16" t="n">
        <f aca="false">ROUND(MIN(Assumptions!$B$3*G$6*Assumptions!$B$19,Assumptions!$B$23*Assumptions!$B$21),0)</f>
        <v>26</v>
      </c>
    </row>
    <row r="14" customFormat="false" ht="15" hidden="false" customHeight="false" outlineLevel="0" collapsed="false">
      <c r="A14" s="14" t="s">
        <v>97</v>
      </c>
      <c r="B14" s="16" t="n">
        <f aca="false">ROUND(MIN(Assumptions!$B$3*B$6,Assumptions!$B$24*Assumptions!$B$21),0)</f>
        <v>26</v>
      </c>
      <c r="C14" s="16" t="n">
        <f aca="false">ROUND(MIN(Assumptions!$B$3*C$6,Assumptions!$B$24*Assumptions!$B$21),0)</f>
        <v>43</v>
      </c>
      <c r="D14" s="16" t="n">
        <f aca="false">ROUND(MIN(Assumptions!$B$3*D$6,Assumptions!$B$24*Assumptions!$B$21),0)</f>
        <v>26</v>
      </c>
      <c r="E14" s="16" t="n">
        <f aca="false">ROUND(MIN(Assumptions!$B$3*E$6,Assumptions!$B$24*Assumptions!$B$21),0)</f>
        <v>26</v>
      </c>
      <c r="F14" s="16" t="n">
        <f aca="false">ROUND(MIN(Assumptions!$B$3*F$6,Assumptions!$B$24*Assumptions!$B$21),0)</f>
        <v>26</v>
      </c>
      <c r="G14" s="16" t="n">
        <f aca="false">ROUND(MIN(Assumptions!$B$3*G$6,Assumptions!$B$24*Assumptions!$B$21),0)</f>
        <v>43</v>
      </c>
    </row>
    <row r="15" customFormat="false" ht="15" hidden="false" customHeight="false" outlineLevel="0" collapsed="false">
      <c r="A15" s="14" t="s">
        <v>98</v>
      </c>
      <c r="B15" s="16" t="n">
        <f aca="false">B8*ROUND(Assumptions!$B$5*Assumptions!$B$32,0)</f>
        <v>0</v>
      </c>
      <c r="C15" s="16" t="n">
        <f aca="false">C8*ROUND(Assumptions!$B$5*Assumptions!$B$32,0)</f>
        <v>0</v>
      </c>
      <c r="D15" s="16" t="n">
        <f aca="false">D8*ROUND(Assumptions!$B$5*Assumptions!$B$32,0)</f>
        <v>0</v>
      </c>
      <c r="E15" s="16" t="n">
        <f aca="false">E8*ROUND(Assumptions!$B$5*Assumptions!$B$32,0)</f>
        <v>80</v>
      </c>
      <c r="F15" s="16" t="n">
        <f aca="false">F8*ROUND(Assumptions!$B$5*Assumptions!$B$32,0)</f>
        <v>0</v>
      </c>
      <c r="G15" s="16" t="n">
        <f aca="false">G8*ROUND(Assumptions!$B$5*Assumptions!$B$32,0)</f>
        <v>80</v>
      </c>
    </row>
    <row r="16" customFormat="false" ht="15" hidden="false" customHeight="false" outlineLevel="0" collapsed="false">
      <c r="A16" s="14" t="s">
        <v>99</v>
      </c>
      <c r="B16" s="16" t="n">
        <f aca="false">B9*ROUND(Assumptions!$B$6*Assumptions!$B$33,0)</f>
        <v>0</v>
      </c>
      <c r="C16" s="16" t="n">
        <f aca="false">C9*ROUND(Assumptions!$B$6*Assumptions!$B$33,0)</f>
        <v>0</v>
      </c>
      <c r="D16" s="16" t="n">
        <f aca="false">D9*ROUND(Assumptions!$B$6*Assumptions!$B$33,0)</f>
        <v>0</v>
      </c>
      <c r="E16" s="16" t="n">
        <f aca="false">E9*ROUND(Assumptions!$B$6*Assumptions!$B$33,0)</f>
        <v>0</v>
      </c>
      <c r="F16" s="16" t="n">
        <f aca="false">F9*ROUND(Assumptions!$B$6*Assumptions!$B$33,0)</f>
        <v>32</v>
      </c>
      <c r="G16" s="16" t="n">
        <f aca="false">G9*ROUND(Assumptions!$B$6*Assumptions!$B$33,0)</f>
        <v>32</v>
      </c>
    </row>
    <row r="17" customFormat="false" ht="15" hidden="false" customHeight="false" outlineLevel="0" collapsed="false">
      <c r="A17" s="14" t="s">
        <v>100</v>
      </c>
      <c r="B17" s="16" t="n">
        <f aca="false">Assumptions!$B$3*B$6</f>
        <v>25.56</v>
      </c>
      <c r="C17" s="16" t="n">
        <f aca="false">Assumptions!$B$3*C$6</f>
        <v>42.6</v>
      </c>
      <c r="D17" s="16" t="n">
        <f aca="false">Assumptions!$B$3*D$6</f>
        <v>25.56</v>
      </c>
      <c r="E17" s="16" t="n">
        <f aca="false">Assumptions!$B$3*E$6</f>
        <v>25.56</v>
      </c>
      <c r="F17" s="16" t="n">
        <f aca="false">Assumptions!$B$3*F$6</f>
        <v>25.56</v>
      </c>
      <c r="G17" s="16" t="n">
        <f aca="false">Assumptions!$B$3*G$6</f>
        <v>42.6</v>
      </c>
    </row>
    <row r="18" customFormat="false" ht="15" hidden="false" customHeight="false" outlineLevel="0" collapsed="false">
      <c r="A18" s="14" t="s">
        <v>101</v>
      </c>
      <c r="B18" s="16" t="n">
        <f aca="false">Assumptions!$B$24*Assumptions!$B$21</f>
        <v>60</v>
      </c>
      <c r="C18" s="16" t="n">
        <f aca="false">Assumptions!$B$24*Assumptions!$B$21</f>
        <v>60</v>
      </c>
      <c r="D18" s="16" t="n">
        <f aca="false">Assumptions!$B$24*Assumptions!$B$21</f>
        <v>60</v>
      </c>
      <c r="E18" s="16" t="n">
        <f aca="false">Assumptions!$B$24*Assumptions!$B$21</f>
        <v>60</v>
      </c>
      <c r="F18" s="16" t="n">
        <f aca="false">Assumptions!$B$24*Assumptions!$B$21</f>
        <v>60</v>
      </c>
      <c r="G18" s="16" t="n">
        <f aca="false">Assumptions!$B$24*Assumptions!$B$21</f>
        <v>60</v>
      </c>
    </row>
    <row r="20" customFormat="false" ht="15" hidden="false" customHeight="false" outlineLevel="0" collapsed="false">
      <c r="A20" s="3" t="s">
        <v>102</v>
      </c>
    </row>
    <row r="21" customFormat="false" ht="15" hidden="false" customHeight="false" outlineLevel="0" collapsed="false">
      <c r="A21" s="14" t="s">
        <v>103</v>
      </c>
      <c r="B21" s="17" t="n">
        <f aca="false">B12*B$7</f>
        <v>360000</v>
      </c>
      <c r="C21" s="17" t="n">
        <f aca="false">C12*C$7</f>
        <v>660000</v>
      </c>
      <c r="D21" s="17" t="n">
        <f aca="false">D12*D$7</f>
        <v>510000</v>
      </c>
      <c r="E21" s="17" t="n">
        <f aca="false">E12*E$7</f>
        <v>360000</v>
      </c>
      <c r="F21" s="17" t="n">
        <f aca="false">F12*F$7</f>
        <v>360000</v>
      </c>
      <c r="G21" s="17" t="n">
        <f aca="false">G12*G$7</f>
        <v>935000</v>
      </c>
    </row>
    <row r="22" customFormat="false" ht="15" hidden="false" customHeight="false" outlineLevel="0" collapsed="false">
      <c r="A22" s="14" t="s">
        <v>104</v>
      </c>
      <c r="B22" s="17" t="n">
        <f aca="false">B13*B$7+0.5*(B15*Assumptions!$B$10+B16*Assumptions!$B$11)</f>
        <v>900000</v>
      </c>
      <c r="C22" s="17" t="n">
        <f aca="false">C13*C$7+0.5*(C15*Assumptions!$B$10+C16*Assumptions!$B$11)</f>
        <v>1560000</v>
      </c>
      <c r="D22" s="17" t="n">
        <f aca="false">D13*D$7+0.5*(D15*Assumptions!$B$10+D16*Assumptions!$B$11)</f>
        <v>1275000</v>
      </c>
      <c r="E22" s="17" t="n">
        <f aca="false">E13*E$7+0.5*(E15*Assumptions!$B$10+E16*Assumptions!$B$11)</f>
        <v>1140000</v>
      </c>
      <c r="F22" s="17" t="n">
        <f aca="false">F13*F$7+0.5*(F15*Assumptions!$B$10+F16*Assumptions!$B$11)</f>
        <v>1460000</v>
      </c>
      <c r="G22" s="17" t="n">
        <f aca="false">G13*G$7+0.5*(G15*Assumptions!$B$10+G16*Assumptions!$B$11)</f>
        <v>3010000</v>
      </c>
    </row>
    <row r="23" customFormat="false" ht="15" hidden="false" customHeight="false" outlineLevel="0" collapsed="false">
      <c r="A23" s="14" t="s">
        <v>105</v>
      </c>
      <c r="B23" s="17" t="n">
        <f aca="false">B14*B$7+B15*Assumptions!$B$10+B16*Assumptions!$B$11</f>
        <v>1560000</v>
      </c>
      <c r="C23" s="17" t="n">
        <f aca="false">C14*C$7+C15*Assumptions!$B$10+C16*Assumptions!$B$11</f>
        <v>2580000</v>
      </c>
      <c r="D23" s="17" t="n">
        <f aca="false">D14*D$7+D15*Assumptions!$B$10+D16*Assumptions!$B$11</f>
        <v>2210000</v>
      </c>
      <c r="E23" s="17" t="n">
        <f aca="false">E14*E$7+E15*Assumptions!$B$10+E16*Assumptions!$B$11</f>
        <v>2040000</v>
      </c>
      <c r="F23" s="17" t="n">
        <f aca="false">F14*F$7+F15*Assumptions!$B$10+F16*Assumptions!$B$11</f>
        <v>2680000</v>
      </c>
      <c r="G23" s="17" t="n">
        <f aca="false">G14*G$7+G15*Assumptions!$B$10+G16*Assumptions!$B$11</f>
        <v>5255000</v>
      </c>
    </row>
    <row r="24" customFormat="false" ht="15" hidden="false" customHeight="false" outlineLevel="0" collapsed="false">
      <c r="A24" s="14" t="s">
        <v>106</v>
      </c>
      <c r="B24" s="17" t="n">
        <f aca="false">B21*Assumptions!$B$13-Assumptions!$B$26</f>
        <v>-1241600</v>
      </c>
      <c r="C24" s="17" t="n">
        <f aca="false">C21*Assumptions!$B$13-Assumptions!$B$26</f>
        <v>-1109600</v>
      </c>
      <c r="D24" s="17" t="n">
        <f aca="false">D21*Assumptions!$B$13-Assumptions!$B$26</f>
        <v>-1175600</v>
      </c>
      <c r="E24" s="17" t="n">
        <f aca="false">E21*Assumptions!$B$13-Assumptions!$B$26</f>
        <v>-1241600</v>
      </c>
      <c r="F24" s="17" t="n">
        <f aca="false">F21*Assumptions!$B$13-Assumptions!$B$26</f>
        <v>-1241600</v>
      </c>
      <c r="G24" s="17" t="n">
        <f aca="false">G21*Assumptions!$B$13-Assumptions!$B$26</f>
        <v>-988600</v>
      </c>
    </row>
    <row r="25" customFormat="false" ht="15" hidden="false" customHeight="false" outlineLevel="0" collapsed="false">
      <c r="A25" s="14" t="s">
        <v>107</v>
      </c>
      <c r="B25" s="17" t="n">
        <f aca="false">B22*Assumptions!$B$14-Assumptions!$B$27</f>
        <v>-1205000</v>
      </c>
      <c r="C25" s="17" t="n">
        <f aca="false">C22*Assumptions!$B$14-Assumptions!$B$27</f>
        <v>-842000</v>
      </c>
      <c r="D25" s="17" t="n">
        <f aca="false">D22*Assumptions!$B$14-Assumptions!$B$27</f>
        <v>-998750</v>
      </c>
      <c r="E25" s="17" t="n">
        <f aca="false">E22*Assumptions!$B$14-Assumptions!$B$27</f>
        <v>-1073000</v>
      </c>
      <c r="F25" s="17" t="n">
        <f aca="false">F22*Assumptions!$B$14-Assumptions!$B$27</f>
        <v>-897000</v>
      </c>
      <c r="G25" s="17" t="n">
        <f aca="false">G22*Assumptions!$B$14-Assumptions!$B$27</f>
        <v>-44499.9999999998</v>
      </c>
    </row>
    <row r="26" customFormat="false" ht="15" hidden="false" customHeight="false" outlineLevel="0" collapsed="false">
      <c r="A26" s="14" t="s">
        <v>108</v>
      </c>
      <c r="B26" s="17" t="n">
        <f aca="false">B23*Assumptions!$B$15-Assumptions!$B$28</f>
        <v>-886000</v>
      </c>
      <c r="C26" s="17" t="n">
        <f aca="false">C23*Assumptions!$B$15-Assumptions!$B$28</f>
        <v>-223000</v>
      </c>
      <c r="D26" s="17" t="n">
        <f aca="false">D23*Assumptions!$B$15-Assumptions!$B$28</f>
        <v>-463500</v>
      </c>
      <c r="E26" s="17" t="n">
        <f aca="false">E23*Assumptions!$B$15-Assumptions!$B$28</f>
        <v>-574000</v>
      </c>
      <c r="F26" s="17" t="n">
        <f aca="false">F23*Assumptions!$B$15-Assumptions!$B$28</f>
        <v>-158000</v>
      </c>
      <c r="G26" s="17" t="n">
        <f aca="false">G23*Assumptions!$B$15-Assumptions!$B$28</f>
        <v>1515750</v>
      </c>
    </row>
    <row r="28" customFormat="false" ht="15" hidden="false" customHeight="false" outlineLevel="0" collapsed="false">
      <c r="A28" s="3" t="s">
        <v>109</v>
      </c>
    </row>
    <row r="29" customFormat="false" ht="15" hidden="false" customHeight="false" outlineLevel="0" collapsed="false">
      <c r="A29" s="14" t="s">
        <v>110</v>
      </c>
      <c r="B29" s="17" t="n">
        <f aca="false">Assumptions!$B$30+SUM(B24:B26)</f>
        <v>-382600</v>
      </c>
      <c r="C29" s="17" t="n">
        <f aca="false">Assumptions!$B$30+SUM(C24:C26)</f>
        <v>775400</v>
      </c>
      <c r="D29" s="17" t="n">
        <f aca="false">Assumptions!$B$30+SUM(D24:D26)</f>
        <v>312150</v>
      </c>
      <c r="E29" s="17" t="n">
        <f aca="false">Assumptions!$B$30+SUM(E24:E26)</f>
        <v>61400</v>
      </c>
      <c r="F29" s="17" t="n">
        <f aca="false">Assumptions!$B$30+SUM(F24:F26)</f>
        <v>653400</v>
      </c>
      <c r="G29" s="17" t="n">
        <f aca="false">Assumptions!$B$30+SUM(G24:G26)</f>
        <v>3432650</v>
      </c>
    </row>
    <row r="30" customFormat="false" ht="15" hidden="false" customHeight="false" outlineLevel="0" collapsed="false">
      <c r="A30" s="14" t="s">
        <v>111</v>
      </c>
      <c r="B30" s="17" t="n">
        <f aca="false">Assumptions!$B$28/Assumptions!$B$15</f>
        <v>2923076.92307692</v>
      </c>
      <c r="C30" s="17" t="n">
        <f aca="false">Assumptions!$B$28/Assumptions!$B$15</f>
        <v>2923076.92307692</v>
      </c>
      <c r="D30" s="17" t="n">
        <f aca="false">Assumptions!$B$28/Assumptions!$B$15</f>
        <v>2923076.92307692</v>
      </c>
      <c r="E30" s="17" t="n">
        <f aca="false">Assumptions!$B$28/Assumptions!$B$15</f>
        <v>2923076.92307692</v>
      </c>
      <c r="F30" s="17" t="n">
        <f aca="false">Assumptions!$B$28/Assumptions!$B$15</f>
        <v>2923076.92307692</v>
      </c>
      <c r="G30" s="17" t="n">
        <f aca="false">Assumptions!$B$28/Assumptions!$B$15</f>
        <v>2923076.92307692</v>
      </c>
    </row>
    <row r="31" customFormat="false" ht="15" hidden="false" customHeight="false" outlineLevel="0" collapsed="false">
      <c r="A31" s="14" t="s">
        <v>112</v>
      </c>
      <c r="B31" s="5" t="str">
        <f aca="false">IF(B23&gt;=B30,"Yes","No")</f>
        <v>No</v>
      </c>
      <c r="C31" s="5" t="str">
        <f aca="false">IF(C23&gt;=C30,"Yes","No")</f>
        <v>No</v>
      </c>
      <c r="D31" s="5" t="str">
        <f aca="false">IF(D23&gt;=D30,"Yes","No")</f>
        <v>No</v>
      </c>
      <c r="E31" s="5" t="str">
        <f aca="false">IF(E23&gt;=E30,"Yes","No")</f>
        <v>No</v>
      </c>
      <c r="F31" s="5" t="str">
        <f aca="false">IF(F23&gt;=F30,"Yes","No")</f>
        <v>No</v>
      </c>
      <c r="G31" s="5" t="str">
        <f aca="false">IF(G23&gt;=G30,"Yes","No")</f>
        <v>Yes</v>
      </c>
    </row>
    <row r="32" customFormat="false" ht="15" hidden="false" customHeight="false" outlineLevel="0" collapsed="false">
      <c r="A32" s="14" t="s">
        <v>113</v>
      </c>
      <c r="B32" s="18" t="n">
        <f aca="false">B23/$B$23</f>
        <v>1</v>
      </c>
      <c r="C32" s="18" t="n">
        <f aca="false">C23/$B$23</f>
        <v>1.65384615384615</v>
      </c>
      <c r="D32" s="18" t="n">
        <f aca="false">D23/$B$23</f>
        <v>1.41666666666667</v>
      </c>
      <c r="E32" s="18" t="n">
        <f aca="false">E23/$B$23</f>
        <v>1.30769230769231</v>
      </c>
      <c r="F32" s="18" t="n">
        <f aca="false">F23/$B$23</f>
        <v>1.71794871794872</v>
      </c>
      <c r="G32" s="18" t="n">
        <f aca="false">G23/$B$23</f>
        <v>3.36858974358974</v>
      </c>
    </row>
    <row r="33" customFormat="false" ht="15" hidden="false" customHeight="false" outlineLevel="0" collapsed="false">
      <c r="A33" s="14" t="s">
        <v>114</v>
      </c>
      <c r="B33" s="5" t="str">
        <f aca="false">IF(B29&gt;0,"Funded through Y3","Raise needed")</f>
        <v>Raise needed</v>
      </c>
      <c r="C33" s="5" t="str">
        <f aca="false">IF(C29&gt;0,"Funded through Y3","Raise needed")</f>
        <v>Funded through Y3</v>
      </c>
      <c r="D33" s="5" t="str">
        <f aca="false">IF(D29&gt;0,"Funded through Y3","Raise needed")</f>
        <v>Funded through Y3</v>
      </c>
      <c r="E33" s="5" t="str">
        <f aca="false">IF(E29&gt;0,"Funded through Y3","Raise needed")</f>
        <v>Funded through Y3</v>
      </c>
      <c r="F33" s="5" t="str">
        <f aca="false">IF(F29&gt;0,"Funded through Y3","Raise needed")</f>
        <v>Funded through Y3</v>
      </c>
      <c r="G33" s="5" t="str">
        <f aca="false">IF(G29&gt;0,"Funded through Y3","Raise needed")</f>
        <v>Funded through Y3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8" min="2" style="0" width="14"/>
  </cols>
  <sheetData>
    <row r="1" customFormat="false" ht="17.35" hidden="false" customHeight="false" outlineLevel="0" collapsed="false">
      <c r="A1" s="1" t="s">
        <v>115</v>
      </c>
    </row>
    <row r="3" customFormat="false" ht="15" hidden="false" customHeight="false" outlineLevel="0" collapsed="false">
      <c r="A3" s="3" t="s">
        <v>116</v>
      </c>
    </row>
    <row r="4" customFormat="false" ht="15" hidden="false" customHeight="false" outlineLevel="0" collapsed="false">
      <c r="A4" s="4" t="s">
        <v>117</v>
      </c>
      <c r="B4" s="4" t="s">
        <v>118</v>
      </c>
      <c r="C4" s="4" t="s">
        <v>119</v>
      </c>
      <c r="D4" s="4" t="s">
        <v>120</v>
      </c>
      <c r="E4" s="4" t="s">
        <v>121</v>
      </c>
    </row>
    <row r="5" customFormat="false" ht="15" hidden="false" customHeight="false" outlineLevel="0" collapsed="false">
      <c r="A5" s="14" t="s">
        <v>122</v>
      </c>
      <c r="B5" s="19" t="n">
        <f aca="false">1</f>
        <v>1</v>
      </c>
      <c r="C5" s="19" t="n">
        <f aca="false">1</f>
        <v>1</v>
      </c>
      <c r="D5" s="19" t="n">
        <f aca="false">1</f>
        <v>1</v>
      </c>
      <c r="E5" s="19" t="n">
        <f aca="false">1</f>
        <v>1</v>
      </c>
    </row>
    <row r="6" customFormat="false" ht="15" hidden="false" customHeight="false" outlineLevel="0" collapsed="false">
      <c r="A6" s="14" t="s">
        <v>123</v>
      </c>
      <c r="B6" s="19" t="n">
        <f aca="false">1</f>
        <v>1</v>
      </c>
      <c r="C6" s="19" t="n">
        <f aca="false">1</f>
        <v>1</v>
      </c>
      <c r="D6" s="19" t="n">
        <f aca="false">1-Assumptions!$B$35</f>
        <v>0.8</v>
      </c>
      <c r="E6" s="19" t="n">
        <f aca="false">1</f>
        <v>1</v>
      </c>
    </row>
    <row r="7" customFormat="false" ht="15" hidden="false" customHeight="false" outlineLevel="0" collapsed="false">
      <c r="A7" s="14" t="s">
        <v>124</v>
      </c>
      <c r="B7" s="19" t="n">
        <f aca="false">1-Assumptions!$B$36</f>
        <v>0.67</v>
      </c>
      <c r="C7" s="19" t="n">
        <f aca="false">1</f>
        <v>1</v>
      </c>
      <c r="D7" s="19" t="n">
        <f aca="false">1</f>
        <v>1</v>
      </c>
      <c r="E7" s="19" t="n">
        <f aca="false">1</f>
        <v>1</v>
      </c>
    </row>
    <row r="8" customFormat="false" ht="15" hidden="false" customHeight="false" outlineLevel="0" collapsed="false">
      <c r="A8" s="14" t="s">
        <v>125</v>
      </c>
      <c r="B8" s="19" t="n">
        <f aca="false">1</f>
        <v>1</v>
      </c>
      <c r="C8" s="19" t="n">
        <f aca="false">1-Assumptions!$B$37</f>
        <v>0.85</v>
      </c>
      <c r="D8" s="19" t="n">
        <f aca="false">1</f>
        <v>1</v>
      </c>
      <c r="E8" s="19" t="n">
        <f aca="false">1</f>
        <v>1</v>
      </c>
    </row>
    <row r="9" customFormat="false" ht="15" hidden="false" customHeight="false" outlineLevel="0" collapsed="false">
      <c r="A9" s="14" t="s">
        <v>126</v>
      </c>
      <c r="B9" s="19" t="n">
        <f aca="false">1</f>
        <v>1</v>
      </c>
      <c r="C9" s="19" t="n">
        <f aca="false">1</f>
        <v>1</v>
      </c>
      <c r="D9" s="19" t="n">
        <f aca="false">1</f>
        <v>1</v>
      </c>
      <c r="E9" s="19" t="n">
        <f aca="false">1-Assumptions!$B$38</f>
        <v>0.5</v>
      </c>
    </row>
    <row r="10" customFormat="false" ht="15" hidden="false" customHeight="false" outlineLevel="0" collapsed="false">
      <c r="A10" s="14" t="s">
        <v>127</v>
      </c>
      <c r="B10" s="19" t="n">
        <f aca="false">1-Assumptions!$B$36</f>
        <v>0.67</v>
      </c>
      <c r="C10" s="19" t="n">
        <f aca="false">1-Assumptions!$B$37</f>
        <v>0.85</v>
      </c>
      <c r="D10" s="19" t="n">
        <f aca="false">1-Assumptions!$B$35</f>
        <v>0.8</v>
      </c>
      <c r="E10" s="19" t="n">
        <f aca="false">1-Assumptions!$B$38</f>
        <v>0.5</v>
      </c>
    </row>
    <row r="13" customFormat="false" ht="15" hidden="false" customHeight="false" outlineLevel="0" collapsed="false">
      <c r="A13" s="3" t="s">
        <v>128</v>
      </c>
    </row>
    <row r="14" customFormat="false" ht="15" hidden="false" customHeight="false" outlineLevel="0" collapsed="false">
      <c r="A14" s="4" t="s">
        <v>129</v>
      </c>
      <c r="B14" s="4" t="str">
        <f aca="false">Scenarios!B$2</f>
        <v>S0 Beachhead only</v>
      </c>
      <c r="C14" s="4" t="str">
        <f aca="false">Scenarios!C$2</f>
        <v>S1 + Partner channel</v>
      </c>
      <c r="D14" s="4" t="str">
        <f aca="false">Scenarios!D$2</f>
        <v>S2 + ACV expansion</v>
      </c>
      <c r="E14" s="4" t="str">
        <f aca="false">Scenarios!E$2</f>
        <v>S3 + Self-serve tail</v>
      </c>
      <c r="F14" s="4" t="str">
        <f aca="false">Scenarios!F$2</f>
        <v>S4 + Road (Timocom)</v>
      </c>
      <c r="G14" s="4" t="str">
        <f aca="false">Scenarios!G$2</f>
        <v>S5 Combined</v>
      </c>
    </row>
    <row r="15" customFormat="false" ht="15" hidden="false" customHeight="false" outlineLevel="0" collapsed="false">
      <c r="A15" s="20" t="str">
        <f aca="false">$A$5</f>
        <v>Base (no shock)</v>
      </c>
      <c r="B15" s="17" t="n">
        <f aca="false">MIN(Scenarios!B$17*$B$5*$C$5,Scenarios!B$18*$E$5)*Scenarios!B$7*$D$5+(Scenarios!B$15*Assumptions!$B$10+Scenarios!B$16*Assumptions!$B$11)*$B$5*$D$5</f>
        <v>1533600</v>
      </c>
      <c r="C15" s="17" t="n">
        <f aca="false">MIN(Scenarios!C$17*$B$5*$C$5,Scenarios!C$18*$E$5)*Scenarios!C$7*$D$5+(Scenarios!C$15*Assumptions!$B$10+Scenarios!C$16*Assumptions!$B$11)*$B$5*$D$5</f>
        <v>2556000</v>
      </c>
      <c r="D15" s="17" t="n">
        <f aca="false">MIN(Scenarios!D$17*$B$5*$C$5,Scenarios!D$18*$E$5)*Scenarios!D$7*$D$5+(Scenarios!D$15*Assumptions!$B$10+Scenarios!D$16*Assumptions!$B$11)*$B$5*$D$5</f>
        <v>2172600</v>
      </c>
      <c r="E15" s="17" t="n">
        <f aca="false">MIN(Scenarios!E$17*$B$5*$C$5,Scenarios!E$18*$E$5)*Scenarios!E$7*$D$5+(Scenarios!E$15*Assumptions!$B$10+Scenarios!E$16*Assumptions!$B$11)*$B$5*$D$5</f>
        <v>2013600</v>
      </c>
      <c r="F15" s="17" t="n">
        <f aca="false">MIN(Scenarios!F$17*$B$5*$C$5,Scenarios!F$18*$E$5)*Scenarios!F$7*$D$5+(Scenarios!F$15*Assumptions!$B$10+Scenarios!F$16*Assumptions!$B$11)*$B$5*$D$5</f>
        <v>2653600</v>
      </c>
      <c r="G15" s="17" t="n">
        <f aca="false">MIN(Scenarios!G$17*$B$5*$C$5,Scenarios!G$18*$E$5)*Scenarios!G$7*$D$5+(Scenarios!G$15*Assumptions!$B$10+Scenarios!G$16*Assumptions!$B$11)*$B$5*$D$5</f>
        <v>5221000</v>
      </c>
    </row>
    <row r="16" customFormat="false" ht="15" hidden="false" customHeight="false" outlineLevel="0" collapsed="false">
      <c r="A16" s="20" t="str">
        <f aca="false">$A$6</f>
        <v>Price pressure</v>
      </c>
      <c r="B16" s="21" t="n">
        <f aca="false">MIN(Scenarios!B$17*$B$6*$C$6,Scenarios!B$18*$E$6)*Scenarios!B$7*$D$6+(Scenarios!B$15*Assumptions!$B$10+Scenarios!B$16*Assumptions!$B$11)*$B$6*$D$6</f>
        <v>1226880</v>
      </c>
      <c r="C16" s="21" t="n">
        <f aca="false">MIN(Scenarios!C$17*$B$6*$C$6,Scenarios!C$18*$E$6)*Scenarios!C$7*$D$6+(Scenarios!C$15*Assumptions!$B$10+Scenarios!C$16*Assumptions!$B$11)*$B$6*$D$6</f>
        <v>2044800</v>
      </c>
      <c r="D16" s="21" t="n">
        <f aca="false">MIN(Scenarios!D$17*$B$6*$C$6,Scenarios!D$18*$E$6)*Scenarios!D$7*$D$6+(Scenarios!D$15*Assumptions!$B$10+Scenarios!D$16*Assumptions!$B$11)*$B$6*$D$6</f>
        <v>1738080</v>
      </c>
      <c r="E16" s="21" t="n">
        <f aca="false">MIN(Scenarios!E$17*$B$6*$C$6,Scenarios!E$18*$E$6)*Scenarios!E$7*$D$6+(Scenarios!E$15*Assumptions!$B$10+Scenarios!E$16*Assumptions!$B$11)*$B$6*$D$6</f>
        <v>1610880</v>
      </c>
      <c r="F16" s="21" t="n">
        <f aca="false">MIN(Scenarios!F$17*$B$6*$C$6,Scenarios!F$18*$E$6)*Scenarios!F$7*$D$6+(Scenarios!F$15*Assumptions!$B$10+Scenarios!F$16*Assumptions!$B$11)*$B$6*$D$6</f>
        <v>2122880</v>
      </c>
      <c r="G16" s="21" t="n">
        <f aca="false">MIN(Scenarios!G$17*$B$6*$C$6,Scenarios!G$18*$E$6)*Scenarios!G$7*$D$6+(Scenarios!G$15*Assumptions!$B$10+Scenarios!G$16*Assumptions!$B$11)*$B$6*$D$6</f>
        <v>4176800</v>
      </c>
    </row>
    <row r="17" customFormat="false" ht="15" hidden="false" customHeight="false" outlineLevel="0" collapsed="false">
      <c r="A17" s="20" t="str">
        <f aca="false">$A$7</f>
        <v>Demand loss</v>
      </c>
      <c r="B17" s="17" t="n">
        <f aca="false">MIN(Scenarios!B$17*$B$7*$C$7,Scenarios!B$18*$E$7)*Scenarios!B$7*$D$7+(Scenarios!B$15*Assumptions!$B$10+Scenarios!B$16*Assumptions!$B$11)*$B$7*$D$7</f>
        <v>1027512</v>
      </c>
      <c r="C17" s="17" t="n">
        <f aca="false">MIN(Scenarios!C$17*$B$7*$C$7,Scenarios!C$18*$E$7)*Scenarios!C$7*$D$7+(Scenarios!C$15*Assumptions!$B$10+Scenarios!C$16*Assumptions!$B$11)*$B$7*$D$7</f>
        <v>1712520</v>
      </c>
      <c r="D17" s="17" t="n">
        <f aca="false">MIN(Scenarios!D$17*$B$7*$C$7,Scenarios!D$18*$E$7)*Scenarios!D$7*$D$7+(Scenarios!D$15*Assumptions!$B$10+Scenarios!D$16*Assumptions!$B$11)*$B$7*$D$7</f>
        <v>1455642</v>
      </c>
      <c r="E17" s="17" t="n">
        <f aca="false">MIN(Scenarios!E$17*$B$7*$C$7,Scenarios!E$18*$E$7)*Scenarios!E$7*$D$7+(Scenarios!E$15*Assumptions!$B$10+Scenarios!E$16*Assumptions!$B$11)*$B$7*$D$7</f>
        <v>1349112</v>
      </c>
      <c r="F17" s="17" t="n">
        <f aca="false">MIN(Scenarios!F$17*$B$7*$C$7,Scenarios!F$18*$E$7)*Scenarios!F$7*$D$7+(Scenarios!F$15*Assumptions!$B$10+Scenarios!F$16*Assumptions!$B$11)*$B$7*$D$7</f>
        <v>1777912</v>
      </c>
      <c r="G17" s="17" t="n">
        <f aca="false">MIN(Scenarios!G$17*$B$7*$C$7,Scenarios!G$18*$E$7)*Scenarios!G$7*$D$7+(Scenarios!G$15*Assumptions!$B$10+Scenarios!G$16*Assumptions!$B$11)*$B$7*$D$7</f>
        <v>3498070</v>
      </c>
    </row>
    <row r="18" customFormat="false" ht="15" hidden="false" customHeight="false" outlineLevel="0" collapsed="false">
      <c r="A18" s="20" t="str">
        <f aca="false">$A$8</f>
        <v>Churn at renewal</v>
      </c>
      <c r="B18" s="21" t="n">
        <f aca="false">MIN(Scenarios!B$17*$B$8*$C$8,Scenarios!B$18*$E$8)*Scenarios!B$7*$D$8+(Scenarios!B$15*Assumptions!$B$10+Scenarios!B$16*Assumptions!$B$11)*$B$8*$D$8</f>
        <v>1303560</v>
      </c>
      <c r="C18" s="21" t="n">
        <f aca="false">MIN(Scenarios!C$17*$B$8*$C$8,Scenarios!C$18*$E$8)*Scenarios!C$7*$D$8+(Scenarios!C$15*Assumptions!$B$10+Scenarios!C$16*Assumptions!$B$11)*$B$8*$D$8</f>
        <v>2172600</v>
      </c>
      <c r="D18" s="21" t="n">
        <f aca="false">MIN(Scenarios!D$17*$B$8*$C$8,Scenarios!D$18*$E$8)*Scenarios!D$7*$D$8+(Scenarios!D$15*Assumptions!$B$10+Scenarios!D$16*Assumptions!$B$11)*$B$8*$D$8</f>
        <v>1846710</v>
      </c>
      <c r="E18" s="21" t="n">
        <f aca="false">MIN(Scenarios!E$17*$B$8*$C$8,Scenarios!E$18*$E$8)*Scenarios!E$7*$D$8+(Scenarios!E$15*Assumptions!$B$10+Scenarios!E$16*Assumptions!$B$11)*$B$8*$D$8</f>
        <v>1783560</v>
      </c>
      <c r="F18" s="21" t="n">
        <f aca="false">MIN(Scenarios!F$17*$B$8*$C$8,Scenarios!F$18*$E$8)*Scenarios!F$7*$D$8+(Scenarios!F$15*Assumptions!$B$10+Scenarios!F$16*Assumptions!$B$11)*$B$8*$D$8</f>
        <v>2423560</v>
      </c>
      <c r="G18" s="21" t="n">
        <f aca="false">MIN(Scenarios!G$17*$B$8*$C$8,Scenarios!G$18*$E$8)*Scenarios!G$7*$D$8+(Scenarios!G$15*Assumptions!$B$10+Scenarios!G$16*Assumptions!$B$11)*$B$8*$D$8</f>
        <v>4677850</v>
      </c>
    </row>
    <row r="19" customFormat="false" ht="15" hidden="false" customHeight="false" outlineLevel="0" collapsed="false">
      <c r="A19" s="20" t="str">
        <f aca="false">$A$9</f>
        <v>FDE hiring shortfall</v>
      </c>
      <c r="B19" s="17" t="n">
        <f aca="false">MIN(Scenarios!B$17*$B$9*$C$9,Scenarios!B$18*$E$9)*Scenarios!B$7*$D$9+(Scenarios!B$15*Assumptions!$B$10+Scenarios!B$16*Assumptions!$B$11)*$B$9*$D$9</f>
        <v>1533600</v>
      </c>
      <c r="C19" s="17" t="n">
        <f aca="false">MIN(Scenarios!C$17*$B$9*$C$9,Scenarios!C$18*$E$9)*Scenarios!C$7*$D$9+(Scenarios!C$15*Assumptions!$B$10+Scenarios!C$16*Assumptions!$B$11)*$B$9*$D$9</f>
        <v>1800000</v>
      </c>
      <c r="D19" s="17" t="n">
        <f aca="false">MIN(Scenarios!D$17*$B$9*$C$9,Scenarios!D$18*$E$9)*Scenarios!D$7*$D$9+(Scenarios!D$15*Assumptions!$B$10+Scenarios!D$16*Assumptions!$B$11)*$B$9*$D$9</f>
        <v>2172600</v>
      </c>
      <c r="E19" s="17" t="n">
        <f aca="false">MIN(Scenarios!E$17*$B$9*$C$9,Scenarios!E$18*$E$9)*Scenarios!E$7*$D$9+(Scenarios!E$15*Assumptions!$B$10+Scenarios!E$16*Assumptions!$B$11)*$B$9*$D$9</f>
        <v>2013600</v>
      </c>
      <c r="F19" s="17" t="n">
        <f aca="false">MIN(Scenarios!F$17*$B$9*$C$9,Scenarios!F$18*$E$9)*Scenarios!F$7*$D$9+(Scenarios!F$15*Assumptions!$B$10+Scenarios!F$16*Assumptions!$B$11)*$B$9*$D$9</f>
        <v>2653600</v>
      </c>
      <c r="G19" s="17" t="n">
        <f aca="false">MIN(Scenarios!G$17*$B$9*$C$9,Scenarios!G$18*$E$9)*Scenarios!G$7*$D$9+(Scenarios!G$15*Assumptions!$B$10+Scenarios!G$16*Assumptions!$B$11)*$B$9*$D$9</f>
        <v>4150000</v>
      </c>
    </row>
    <row r="20" customFormat="false" ht="15" hidden="false" customHeight="false" outlineLevel="0" collapsed="false">
      <c r="A20" s="20" t="str">
        <f aca="false">$A$10</f>
        <v>Combined downside</v>
      </c>
      <c r="B20" s="21" t="n">
        <f aca="false">MIN(Scenarios!B$17*$B$10*$C$10,Scenarios!B$18*$E$10)*Scenarios!B$7*$D$10+(Scenarios!B$15*Assumptions!$B$10+Scenarios!B$16*Assumptions!$B$11)*$B$10*$D$10</f>
        <v>698708.16</v>
      </c>
      <c r="C20" s="21" t="n">
        <f aca="false">MIN(Scenarios!C$17*$B$10*$C$10,Scenarios!C$18*$E$10)*Scenarios!C$7*$D$10+(Scenarios!C$15*Assumptions!$B$10+Scenarios!C$16*Assumptions!$B$11)*$B$10*$D$10</f>
        <v>1164513.6</v>
      </c>
      <c r="D20" s="21" t="n">
        <f aca="false">MIN(Scenarios!D$17*$B$10*$C$10,Scenarios!D$18*$E$10)*Scenarios!D$7*$D$10+(Scenarios!D$15*Assumptions!$B$10+Scenarios!D$16*Assumptions!$B$11)*$B$10*$D$10</f>
        <v>989836.56</v>
      </c>
      <c r="E20" s="21" t="n">
        <f aca="false">MIN(Scenarios!E$17*$B$10*$C$10,Scenarios!E$18*$E$10)*Scenarios!E$7*$D$10+(Scenarios!E$15*Assumptions!$B$10+Scenarios!E$16*Assumptions!$B$11)*$B$10*$D$10</f>
        <v>955988.16</v>
      </c>
      <c r="F20" s="21" t="n">
        <f aca="false">MIN(Scenarios!F$17*$B$10*$C$10,Scenarios!F$18*$E$10)*Scenarios!F$7*$D$10+(Scenarios!F$15*Assumptions!$B$10+Scenarios!F$16*Assumptions!$B$11)*$B$10*$D$10</f>
        <v>1299028.16</v>
      </c>
      <c r="G20" s="21" t="n">
        <f aca="false">MIN(Scenarios!G$17*$B$10*$C$10,Scenarios!G$18*$E$10)*Scenarios!G$7*$D$10+(Scenarios!G$15*Assumptions!$B$10+Scenarios!G$16*Assumptions!$B$11)*$B$10*$D$10</f>
        <v>2507327.6</v>
      </c>
    </row>
    <row r="23" customFormat="false" ht="15" hidden="false" customHeight="false" outlineLevel="0" collapsed="false">
      <c r="A23" s="3" t="s">
        <v>130</v>
      </c>
    </row>
    <row r="24" customFormat="false" ht="15" hidden="false" customHeight="false" outlineLevel="0" collapsed="false">
      <c r="A24" s="4" t="s">
        <v>129</v>
      </c>
      <c r="B24" s="4" t="str">
        <f aca="false">Scenarios!B$2</f>
        <v>S0 Beachhead only</v>
      </c>
      <c r="C24" s="4" t="str">
        <f aca="false">Scenarios!C$2</f>
        <v>S1 + Partner channel</v>
      </c>
      <c r="D24" s="4" t="str">
        <f aca="false">Scenarios!D$2</f>
        <v>S2 + ACV expansion</v>
      </c>
      <c r="E24" s="4" t="str">
        <f aca="false">Scenarios!E$2</f>
        <v>S3 + Self-serve tail</v>
      </c>
      <c r="F24" s="4" t="str">
        <f aca="false">Scenarios!F$2</f>
        <v>S4 + Road (Timocom)</v>
      </c>
      <c r="G24" s="4" t="str">
        <f aca="false">Scenarios!G$2</f>
        <v>S5 Combined</v>
      </c>
    </row>
    <row r="25" customFormat="false" ht="15" hidden="false" customHeight="false" outlineLevel="0" collapsed="false">
      <c r="A25" s="20" t="str">
        <f aca="false">$A$5</f>
        <v>Base (no shock)</v>
      </c>
      <c r="B25" s="17" t="n">
        <f aca="false">B15*Assumptions!$B$15-Assumptions!$B$28</f>
        <v>-903160</v>
      </c>
      <c r="C25" s="17" t="n">
        <f aca="false">C15*Assumptions!$B$15-Assumptions!$B$28</f>
        <v>-238600</v>
      </c>
      <c r="D25" s="17" t="n">
        <f aca="false">D15*Assumptions!$B$15-Assumptions!$B$28</f>
        <v>-487810</v>
      </c>
      <c r="E25" s="17" t="n">
        <f aca="false">E15*Assumptions!$B$15-Assumptions!$B$28</f>
        <v>-591160</v>
      </c>
      <c r="F25" s="17" t="n">
        <f aca="false">F15*Assumptions!$B$15-Assumptions!$B$28</f>
        <v>-175160</v>
      </c>
      <c r="G25" s="17" t="n">
        <f aca="false">G15*Assumptions!$B$15-Assumptions!$B$28</f>
        <v>1493650</v>
      </c>
    </row>
    <row r="26" customFormat="false" ht="15" hidden="false" customHeight="false" outlineLevel="0" collapsed="false">
      <c r="A26" s="20" t="str">
        <f aca="false">$A$6</f>
        <v>Price pressure</v>
      </c>
      <c r="B26" s="21" t="n">
        <f aca="false">B16*Assumptions!$B$15-Assumptions!$B$28</f>
        <v>-1102528</v>
      </c>
      <c r="C26" s="21" t="n">
        <f aca="false">C16*Assumptions!$B$15-Assumptions!$B$28</f>
        <v>-570880</v>
      </c>
      <c r="D26" s="21" t="n">
        <f aca="false">D16*Assumptions!$B$15-Assumptions!$B$28</f>
        <v>-770248</v>
      </c>
      <c r="E26" s="21" t="n">
        <f aca="false">E16*Assumptions!$B$15-Assumptions!$B$28</f>
        <v>-852928</v>
      </c>
      <c r="F26" s="21" t="n">
        <f aca="false">F16*Assumptions!$B$15-Assumptions!$B$28</f>
        <v>-520128</v>
      </c>
      <c r="G26" s="21" t="n">
        <f aca="false">G16*Assumptions!$B$15-Assumptions!$B$28</f>
        <v>814920</v>
      </c>
    </row>
    <row r="27" customFormat="false" ht="15" hidden="false" customHeight="false" outlineLevel="0" collapsed="false">
      <c r="A27" s="20" t="str">
        <f aca="false">$A$7</f>
        <v>Demand loss</v>
      </c>
      <c r="B27" s="17" t="n">
        <f aca="false">B17*Assumptions!$B$15-Assumptions!$B$28</f>
        <v>-1232117.2</v>
      </c>
      <c r="C27" s="17" t="n">
        <f aca="false">C17*Assumptions!$B$15-Assumptions!$B$28</f>
        <v>-786862</v>
      </c>
      <c r="D27" s="17" t="n">
        <f aca="false">D17*Assumptions!$B$15-Assumptions!$B$28</f>
        <v>-953832.7</v>
      </c>
      <c r="E27" s="17" t="n">
        <f aca="false">E17*Assumptions!$B$15-Assumptions!$B$28</f>
        <v>-1023077.2</v>
      </c>
      <c r="F27" s="17" t="n">
        <f aca="false">F17*Assumptions!$B$15-Assumptions!$B$28</f>
        <v>-744357.2</v>
      </c>
      <c r="G27" s="17" t="n">
        <f aca="false">G17*Assumptions!$B$15-Assumptions!$B$28</f>
        <v>373745.5</v>
      </c>
    </row>
    <row r="28" customFormat="false" ht="15" hidden="false" customHeight="false" outlineLevel="0" collapsed="false">
      <c r="A28" s="20" t="str">
        <f aca="false">$A$8</f>
        <v>Churn at renewal</v>
      </c>
      <c r="B28" s="21" t="n">
        <f aca="false">B18*Assumptions!$B$15-Assumptions!$B$28</f>
        <v>-1052686</v>
      </c>
      <c r="C28" s="21" t="n">
        <f aca="false">C18*Assumptions!$B$15-Assumptions!$B$28</f>
        <v>-487810</v>
      </c>
      <c r="D28" s="21" t="n">
        <f aca="false">D18*Assumptions!$B$15-Assumptions!$B$28</f>
        <v>-699638.5</v>
      </c>
      <c r="E28" s="21" t="n">
        <f aca="false">E18*Assumptions!$B$15-Assumptions!$B$28</f>
        <v>-740686</v>
      </c>
      <c r="F28" s="21" t="n">
        <f aca="false">F18*Assumptions!$B$15-Assumptions!$B$28</f>
        <v>-324686</v>
      </c>
      <c r="G28" s="21" t="n">
        <f aca="false">G18*Assumptions!$B$15-Assumptions!$B$28</f>
        <v>1140602.5</v>
      </c>
    </row>
    <row r="29" customFormat="false" ht="15" hidden="false" customHeight="false" outlineLevel="0" collapsed="false">
      <c r="A29" s="20" t="str">
        <f aca="false">$A$9</f>
        <v>FDE hiring shortfall</v>
      </c>
      <c r="B29" s="17" t="n">
        <f aca="false">B19*Assumptions!$B$15-Assumptions!$B$28</f>
        <v>-903160</v>
      </c>
      <c r="C29" s="17" t="n">
        <f aca="false">C19*Assumptions!$B$15-Assumptions!$B$28</f>
        <v>-730000</v>
      </c>
      <c r="D29" s="17" t="n">
        <f aca="false">D19*Assumptions!$B$15-Assumptions!$B$28</f>
        <v>-487810</v>
      </c>
      <c r="E29" s="17" t="n">
        <f aca="false">E19*Assumptions!$B$15-Assumptions!$B$28</f>
        <v>-591160</v>
      </c>
      <c r="F29" s="17" t="n">
        <f aca="false">F19*Assumptions!$B$15-Assumptions!$B$28</f>
        <v>-175160</v>
      </c>
      <c r="G29" s="17" t="n">
        <f aca="false">G19*Assumptions!$B$15-Assumptions!$B$28</f>
        <v>797500</v>
      </c>
    </row>
    <row r="30" customFormat="false" ht="15" hidden="false" customHeight="false" outlineLevel="0" collapsed="false">
      <c r="A30" s="20" t="str">
        <f aca="false">$A$10</f>
        <v>Combined downside</v>
      </c>
      <c r="B30" s="21" t="n">
        <f aca="false">B20*Assumptions!$B$15-Assumptions!$B$28</f>
        <v>-1445839.696</v>
      </c>
      <c r="C30" s="21" t="n">
        <f aca="false">C20*Assumptions!$B$15-Assumptions!$B$28</f>
        <v>-1143066.16</v>
      </c>
      <c r="D30" s="21" t="n">
        <f aca="false">D20*Assumptions!$B$15-Assumptions!$B$28</f>
        <v>-1256606.236</v>
      </c>
      <c r="E30" s="21" t="n">
        <f aca="false">E20*Assumptions!$B$15-Assumptions!$B$28</f>
        <v>-1278607.696</v>
      </c>
      <c r="F30" s="21" t="n">
        <f aca="false">F20*Assumptions!$B$15-Assumptions!$B$28</f>
        <v>-1055631.696</v>
      </c>
      <c r="G30" s="21" t="n">
        <f aca="false">G20*Assumptions!$B$15-Assumptions!$B$28</f>
        <v>-270237.06</v>
      </c>
    </row>
    <row r="33" customFormat="false" ht="15" hidden="false" customHeight="false" outlineLevel="0" collapsed="false">
      <c r="A33" s="3" t="s">
        <v>131</v>
      </c>
    </row>
    <row r="34" customFormat="false" ht="15" hidden="false" customHeight="false" outlineLevel="0" collapsed="false">
      <c r="A34" s="4" t="s">
        <v>132</v>
      </c>
      <c r="B34" s="22" t="n">
        <v>40000</v>
      </c>
      <c r="C34" s="22" t="n">
        <v>50000</v>
      </c>
      <c r="D34" s="22" t="n">
        <v>60000</v>
      </c>
      <c r="E34" s="22" t="n">
        <v>70000</v>
      </c>
      <c r="F34" s="22" t="n">
        <v>85000</v>
      </c>
      <c r="G34" s="22" t="n">
        <v>100000</v>
      </c>
    </row>
    <row r="35" customFormat="false" ht="15" hidden="false" customHeight="false" outlineLevel="0" collapsed="false">
      <c r="A35" s="23" t="n">
        <v>0.06</v>
      </c>
      <c r="B35" s="17" t="n">
        <f aca="false">Assumptions!$B$3*$A35*B$34</f>
        <v>511200</v>
      </c>
      <c r="C35" s="17" t="n">
        <f aca="false">Assumptions!$B$3*$A35*C$34</f>
        <v>639000</v>
      </c>
      <c r="D35" s="17" t="n">
        <f aca="false">Assumptions!$B$3*$A35*D$34</f>
        <v>766800</v>
      </c>
      <c r="E35" s="17" t="n">
        <f aca="false">Assumptions!$B$3*$A35*E$34</f>
        <v>894600</v>
      </c>
      <c r="F35" s="17" t="n">
        <f aca="false">Assumptions!$B$3*$A35*F$34</f>
        <v>1086300</v>
      </c>
      <c r="G35" s="17" t="n">
        <f aca="false">Assumptions!$B$3*$A35*G$34</f>
        <v>1278000</v>
      </c>
    </row>
    <row r="36" customFormat="false" ht="15" hidden="false" customHeight="false" outlineLevel="0" collapsed="false">
      <c r="A36" s="23" t="n">
        <v>0.09</v>
      </c>
      <c r="B36" s="17" t="n">
        <f aca="false">Assumptions!$B$3*$A36*B$34</f>
        <v>766800</v>
      </c>
      <c r="C36" s="17" t="n">
        <f aca="false">Assumptions!$B$3*$A36*C$34</f>
        <v>958500</v>
      </c>
      <c r="D36" s="17" t="n">
        <f aca="false">Assumptions!$B$3*$A36*D$34</f>
        <v>1150200</v>
      </c>
      <c r="E36" s="17" t="n">
        <f aca="false">Assumptions!$B$3*$A36*E$34</f>
        <v>1341900</v>
      </c>
      <c r="F36" s="17" t="n">
        <f aca="false">Assumptions!$B$3*$A36*F$34</f>
        <v>1629450</v>
      </c>
      <c r="G36" s="17" t="n">
        <f aca="false">Assumptions!$B$3*$A36*G$34</f>
        <v>1917000</v>
      </c>
    </row>
    <row r="37" customFormat="false" ht="15" hidden="false" customHeight="false" outlineLevel="0" collapsed="false">
      <c r="A37" s="23" t="n">
        <v>0.12</v>
      </c>
      <c r="B37" s="17" t="n">
        <f aca="false">Assumptions!$B$3*$A37*B$34</f>
        <v>1022400</v>
      </c>
      <c r="C37" s="17" t="n">
        <f aca="false">Assumptions!$B$3*$A37*C$34</f>
        <v>1278000</v>
      </c>
      <c r="D37" s="17" t="n">
        <f aca="false">Assumptions!$B$3*$A37*D$34</f>
        <v>1533600</v>
      </c>
      <c r="E37" s="17" t="n">
        <f aca="false">Assumptions!$B$3*$A37*E$34</f>
        <v>1789200</v>
      </c>
      <c r="F37" s="17" t="n">
        <f aca="false">Assumptions!$B$3*$A37*F$34</f>
        <v>2172600</v>
      </c>
      <c r="G37" s="17" t="n">
        <f aca="false">Assumptions!$B$3*$A37*G$34</f>
        <v>2556000</v>
      </c>
    </row>
    <row r="38" customFormat="false" ht="15" hidden="false" customHeight="false" outlineLevel="0" collapsed="false">
      <c r="A38" s="23" t="n">
        <v>0.15</v>
      </c>
      <c r="B38" s="17" t="n">
        <f aca="false">Assumptions!$B$3*$A38*B$34</f>
        <v>1278000</v>
      </c>
      <c r="C38" s="17" t="n">
        <f aca="false">Assumptions!$B$3*$A38*C$34</f>
        <v>1597500</v>
      </c>
      <c r="D38" s="17" t="n">
        <f aca="false">Assumptions!$B$3*$A38*D$34</f>
        <v>1917000</v>
      </c>
      <c r="E38" s="17" t="n">
        <f aca="false">Assumptions!$B$3*$A38*E$34</f>
        <v>2236500</v>
      </c>
      <c r="F38" s="17" t="n">
        <f aca="false">Assumptions!$B$3*$A38*F$34</f>
        <v>2715750</v>
      </c>
      <c r="G38" s="17" t="n">
        <f aca="false">Assumptions!$B$3*$A38*G$34</f>
        <v>3195000</v>
      </c>
    </row>
    <row r="39" customFormat="false" ht="15" hidden="false" customHeight="false" outlineLevel="0" collapsed="false">
      <c r="A39" s="23" t="n">
        <v>0.18</v>
      </c>
      <c r="B39" s="17" t="n">
        <f aca="false">Assumptions!$B$3*$A39*B$34</f>
        <v>1533600</v>
      </c>
      <c r="C39" s="17" t="n">
        <f aca="false">Assumptions!$B$3*$A39*C$34</f>
        <v>1917000</v>
      </c>
      <c r="D39" s="17" t="n">
        <f aca="false">Assumptions!$B$3*$A39*D$34</f>
        <v>2300400</v>
      </c>
      <c r="E39" s="17" t="n">
        <f aca="false">Assumptions!$B$3*$A39*E$34</f>
        <v>2683800</v>
      </c>
      <c r="F39" s="17" t="n">
        <f aca="false">Assumptions!$B$3*$A39*F$34</f>
        <v>3258900</v>
      </c>
      <c r="G39" s="17" t="n">
        <f aca="false">Assumptions!$B$3*$A39*G$34</f>
        <v>3834000</v>
      </c>
    </row>
    <row r="40" customFormat="false" ht="15" hidden="false" customHeight="false" outlineLevel="0" collapsed="false">
      <c r="A40" s="23" t="n">
        <v>0.21</v>
      </c>
      <c r="B40" s="17" t="n">
        <f aca="false">Assumptions!$B$3*$A40*B$34</f>
        <v>1789200</v>
      </c>
      <c r="C40" s="17" t="n">
        <f aca="false">Assumptions!$B$3*$A40*C$34</f>
        <v>2236500</v>
      </c>
      <c r="D40" s="17" t="n">
        <f aca="false">Assumptions!$B$3*$A40*D$34</f>
        <v>2683800</v>
      </c>
      <c r="E40" s="17" t="n">
        <f aca="false">Assumptions!$B$3*$A40*E$34</f>
        <v>3131100</v>
      </c>
      <c r="F40" s="17" t="n">
        <f aca="false">Assumptions!$B$3*$A40*F$34</f>
        <v>3802050</v>
      </c>
      <c r="G40" s="17" t="n">
        <f aca="false">Assumptions!$B$3*$A40*G$34</f>
        <v>4473000</v>
      </c>
    </row>
    <row r="42" customFormat="false" ht="15" hidden="false" customHeight="false" outlineLevel="0" collapsed="false">
      <c r="A42" s="14" t="s">
        <v>133</v>
      </c>
      <c r="C42" s="24" t="n">
        <f aca="false">Assumptions!$B$28/Assumptions!$B$15</f>
        <v>2923076.92307692</v>
      </c>
    </row>
    <row r="45" customFormat="false" ht="15" hidden="false" customHeight="false" outlineLevel="0" collapsed="false">
      <c r="A45" s="3" t="s">
        <v>134</v>
      </c>
    </row>
    <row r="46" customFormat="false" ht="15" hidden="false" customHeight="false" outlineLevel="0" collapsed="false">
      <c r="A46" s="4" t="s">
        <v>135</v>
      </c>
      <c r="B46" s="25" t="n">
        <v>0.45</v>
      </c>
      <c r="C46" s="25" t="n">
        <v>0.55</v>
      </c>
      <c r="D46" s="25" t="n">
        <v>0.65</v>
      </c>
    </row>
    <row r="47" customFormat="false" ht="15" hidden="false" customHeight="false" outlineLevel="0" collapsed="false">
      <c r="A47" s="26" t="n">
        <v>1500000</v>
      </c>
      <c r="B47" s="16" t="n">
        <f aca="false">ROUND($A47/(Scenarios!$B$7*B$46),0)</f>
        <v>56</v>
      </c>
      <c r="C47" s="16" t="n">
        <f aca="false">ROUND($A47/(Scenarios!$B$7*C$46),0)</f>
        <v>45</v>
      </c>
      <c r="D47" s="16" t="n">
        <f aca="false">ROUND($A47/(Scenarios!$B$7*D$46),0)</f>
        <v>38</v>
      </c>
    </row>
    <row r="48" customFormat="false" ht="15" hidden="false" customHeight="false" outlineLevel="0" collapsed="false">
      <c r="A48" s="26" t="n">
        <v>1900000</v>
      </c>
      <c r="B48" s="16" t="n">
        <f aca="false">ROUND($A48/(Scenarios!$B$7*B$46),0)</f>
        <v>70</v>
      </c>
      <c r="C48" s="16" t="n">
        <f aca="false">ROUND($A48/(Scenarios!$B$7*C$46),0)</f>
        <v>58</v>
      </c>
      <c r="D48" s="16" t="n">
        <f aca="false">ROUND($A48/(Scenarios!$B$7*D$46),0)</f>
        <v>49</v>
      </c>
    </row>
    <row r="49" customFormat="false" ht="15" hidden="false" customHeight="false" outlineLevel="0" collapsed="false">
      <c r="A49" s="26" t="n">
        <v>2400000</v>
      </c>
      <c r="B49" s="16" t="n">
        <f aca="false">ROUND($A49/(Scenarios!$B$7*B$46),0)</f>
        <v>89</v>
      </c>
      <c r="C49" s="16" t="n">
        <f aca="false">ROUND($A49/(Scenarios!$B$7*C$46),0)</f>
        <v>73</v>
      </c>
      <c r="D49" s="16" t="n">
        <f aca="false">ROUND($A49/(Scenarios!$B$7*D$46),0)</f>
        <v>62</v>
      </c>
    </row>
    <row r="50" customFormat="false" ht="15" hidden="false" customHeight="false" outlineLevel="0" collapsed="false">
      <c r="A50" s="26" t="n">
        <v>3000000</v>
      </c>
      <c r="B50" s="16" t="n">
        <f aca="false">ROUND($A50/(Scenarios!$B$7*B$46),0)</f>
        <v>111</v>
      </c>
      <c r="C50" s="16" t="n">
        <f aca="false">ROUND($A50/(Scenarios!$B$7*C$46),0)</f>
        <v>91</v>
      </c>
      <c r="D50" s="16" t="n">
        <f aca="false">ROUND($A50/(Scenarios!$B$7*D$46),0)</f>
        <v>77</v>
      </c>
    </row>
    <row r="52" customFormat="false" ht="15" hidden="false" customHeight="false" outlineLevel="0" collapsed="false">
      <c r="A52" s="27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34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1" t="s">
        <v>137</v>
      </c>
    </row>
    <row r="3" customFormat="false" ht="15" hidden="false" customHeight="false" outlineLevel="0" collapsed="false">
      <c r="A3" s="28" t="s">
        <v>138</v>
      </c>
      <c r="B3" s="29" t="s">
        <v>139</v>
      </c>
      <c r="C3" s="29" t="s">
        <v>140</v>
      </c>
      <c r="D3" s="29" t="s">
        <v>141</v>
      </c>
    </row>
    <row r="4" customFormat="false" ht="15" hidden="false" customHeight="false" outlineLevel="0" collapsed="false">
      <c r="A4" s="28" t="s">
        <v>142</v>
      </c>
      <c r="B4" s="29" t="s">
        <v>143</v>
      </c>
      <c r="C4" s="29" t="s">
        <v>144</v>
      </c>
      <c r="D4" s="29" t="s">
        <v>145</v>
      </c>
    </row>
    <row r="5" customFormat="false" ht="15" hidden="false" customHeight="false" outlineLevel="0" collapsed="false">
      <c r="A5" s="28" t="s">
        <v>146</v>
      </c>
      <c r="B5" s="29" t="s">
        <v>147</v>
      </c>
      <c r="C5" s="29" t="s">
        <v>148</v>
      </c>
      <c r="D5" s="29" t="s">
        <v>149</v>
      </c>
    </row>
    <row r="6" customFormat="false" ht="15" hidden="false" customHeight="false" outlineLevel="0" collapsed="false">
      <c r="A6" s="28"/>
      <c r="B6" s="29"/>
      <c r="C6" s="29"/>
      <c r="D6" s="29"/>
    </row>
    <row r="7" customFormat="false" ht="15" hidden="false" customHeight="false" outlineLevel="0" collapsed="false">
      <c r="A7" s="30" t="s">
        <v>150</v>
      </c>
      <c r="B7" s="30" t="s">
        <v>151</v>
      </c>
      <c r="C7" s="30" t="s">
        <v>152</v>
      </c>
      <c r="D7" s="30" t="s">
        <v>153</v>
      </c>
    </row>
    <row r="8" customFormat="false" ht="24" hidden="false" customHeight="false" outlineLevel="0" collapsed="false">
      <c r="A8" s="28" t="s">
        <v>154</v>
      </c>
      <c r="B8" s="29" t="s">
        <v>155</v>
      </c>
      <c r="C8" s="29" t="s">
        <v>156</v>
      </c>
      <c r="D8" s="29" t="s">
        <v>157</v>
      </c>
    </row>
    <row r="9" customFormat="false" ht="15" hidden="false" customHeight="false" outlineLevel="0" collapsed="false">
      <c r="A9" s="28" t="s">
        <v>158</v>
      </c>
      <c r="B9" s="29" t="s">
        <v>159</v>
      </c>
      <c r="C9" s="29" t="s">
        <v>160</v>
      </c>
      <c r="D9" s="29" t="s">
        <v>161</v>
      </c>
    </row>
    <row r="10" customFormat="false" ht="15" hidden="false" customHeight="false" outlineLevel="0" collapsed="false">
      <c r="A10" s="28" t="s">
        <v>162</v>
      </c>
      <c r="B10" s="29" t="s">
        <v>163</v>
      </c>
      <c r="C10" s="29" t="s">
        <v>164</v>
      </c>
      <c r="D10" s="29" t="s">
        <v>165</v>
      </c>
    </row>
    <row r="11" customFormat="false" ht="15" hidden="false" customHeight="false" outlineLevel="0" collapsed="false">
      <c r="A11" s="28" t="s">
        <v>166</v>
      </c>
      <c r="B11" s="29" t="s">
        <v>167</v>
      </c>
      <c r="C11" s="29" t="s">
        <v>168</v>
      </c>
      <c r="D11" s="29" t="s">
        <v>169</v>
      </c>
    </row>
    <row r="12" customFormat="false" ht="15" hidden="false" customHeight="false" outlineLevel="0" collapsed="false">
      <c r="A12" s="28" t="s">
        <v>170</v>
      </c>
      <c r="B12" s="29" t="s">
        <v>171</v>
      </c>
      <c r="C12" s="29" t="s">
        <v>172</v>
      </c>
      <c r="D12" s="29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2026-07-30T21:21:27Z</dcterms:created>
  <dc:creator>openpyxl</dc:creator>
  <dc:description/>
  <dc:language>en-US</dc:language>
  <cp:lastModifiedBy/>
  <dcterms:modified xsi:type="dcterms:W3CDTF">2026-07-30T21:21:27Z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